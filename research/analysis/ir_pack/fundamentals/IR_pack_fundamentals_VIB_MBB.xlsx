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_comparison" sheetId="1" r:id="rId1"/>
    <sheet name="ROE_DuPont" sheetId="2" r:id="rId2"/>
    <sheet name="ROE_gap" sheetId="3" r:id="rId3"/>
  </sheets>
  <definedNames>
    <definedName name="_xlnm._FilterDatabase" localSheetId="0" hidden="1">KPI_comparison!$A$1:$M$149</definedName>
    <definedName name="_xlnm._FilterDatabase" localSheetId="1" hidden="1">ROE_DuPont!$A$1:$Z$17</definedName>
    <definedName name="_xlnm._FilterDatabase" localSheetId="2" hidden="1">ROE_gap!$A$1:$G$15</definedName>
  </definedNames>
  <calcPr calcId="124519" fullCalcOnLoad="1"/>
</workbook>
</file>

<file path=xl/sharedStrings.xml><?xml version="1.0" encoding="utf-8"?>
<sst xmlns="http://schemas.openxmlformats.org/spreadsheetml/2006/main" count="1468" uniqueCount="219">
  <si>
    <t>ticker</t>
  </si>
  <si>
    <t>metric</t>
  </si>
  <si>
    <t>basis</t>
  </si>
  <si>
    <t>period</t>
  </si>
  <si>
    <t>value</t>
  </si>
  <si>
    <t>prior_period</t>
  </si>
  <si>
    <t>prior_value</t>
  </si>
  <si>
    <t>change</t>
  </si>
  <si>
    <t>change_unit</t>
  </si>
  <si>
    <t>unit</t>
  </si>
  <si>
    <t>formula</t>
  </si>
  <si>
    <t>excel_equiv</t>
  </si>
  <si>
    <t>source</t>
  </si>
  <si>
    <t>VIB</t>
  </si>
  <si>
    <t>MBB</t>
  </si>
  <si>
    <t>NII</t>
  </si>
  <si>
    <t>Fee</t>
  </si>
  <si>
    <t>NonII</t>
  </si>
  <si>
    <t>TOI</t>
  </si>
  <si>
    <t>Opex</t>
  </si>
  <si>
    <t>PPOP</t>
  </si>
  <si>
    <t>Prov</t>
  </si>
  <si>
    <t>PBT</t>
  </si>
  <si>
    <t>NPAT</t>
  </si>
  <si>
    <t>NPAT_parent</t>
  </si>
  <si>
    <t>NIM_%</t>
  </si>
  <si>
    <t>CIR_%</t>
  </si>
  <si>
    <t>CreditCost_%</t>
  </si>
  <si>
    <t>ROE_%</t>
  </si>
  <si>
    <t>ROE_total_equity_%</t>
  </si>
  <si>
    <t>ROA_%</t>
  </si>
  <si>
    <t>EffTax_%</t>
  </si>
  <si>
    <t>Fee_share_TOI_%</t>
  </si>
  <si>
    <t>NPL_%</t>
  </si>
  <si>
    <t>Group2_%</t>
  </si>
  <si>
    <t>LLR_cov_%</t>
  </si>
  <si>
    <t>CASA_%</t>
  </si>
  <si>
    <t>CASA_broad_%</t>
  </si>
  <si>
    <t>LDR_simple_%</t>
  </si>
  <si>
    <t>EqA_%</t>
  </si>
  <si>
    <t>Loan_ytd_%</t>
  </si>
  <si>
    <t>Deposit_ytd_%</t>
  </si>
  <si>
    <t>Loan_yoy_%</t>
  </si>
  <si>
    <t>Deposit_yoy_%</t>
  </si>
  <si>
    <t>BVPS_charter</t>
  </si>
  <si>
    <t>BVPS_parent_charter</t>
  </si>
  <si>
    <t>Loans</t>
  </si>
  <si>
    <t>Deposits</t>
  </si>
  <si>
    <t>Assets</t>
  </si>
  <si>
    <t>Equity</t>
  </si>
  <si>
    <t>Equity_parent</t>
  </si>
  <si>
    <t>Bonds</t>
  </si>
  <si>
    <t>BVPS_parent_latest_shares</t>
  </si>
  <si>
    <t>Quarter</t>
  </si>
  <si>
    <t>TTM</t>
  </si>
  <si>
    <t>6M YTD</t>
  </si>
  <si>
    <t>Period-end</t>
  </si>
  <si>
    <t>2026Q2</t>
  </si>
  <si>
    <t>2025Q3-2026Q2</t>
  </si>
  <si>
    <t>2026Q1-2026Q2</t>
  </si>
  <si>
    <t>2025Q2</t>
  </si>
  <si>
    <t>2024Q3-2025Q2</t>
  </si>
  <si>
    <t>2025Q1-2025Q2</t>
  </si>
  <si>
    <t>% YoY</t>
  </si>
  <si>
    <t>pp</t>
  </si>
  <si>
    <t>VND</t>
  </si>
  <si>
    <t>VND bn</t>
  </si>
  <si>
    <t>%</t>
  </si>
  <si>
    <t>quarterly NII</t>
  </si>
  <si>
    <t>quarterly Fee</t>
  </si>
  <si>
    <t>quarterly NonII</t>
  </si>
  <si>
    <t>quarterly TOI</t>
  </si>
  <si>
    <t>quarterly Opex</t>
  </si>
  <si>
    <t>quarterly PPOP</t>
  </si>
  <si>
    <t>quarterly Prov</t>
  </si>
  <si>
    <t>quarterly PBT</t>
  </si>
  <si>
    <t>quarterly NPAT</t>
  </si>
  <si>
    <t>quarterly NPAT_parent</t>
  </si>
  <si>
    <t>NII x4 / avg IEA (average of 2 quarter-end balances); IEA=SBV balances+interbank balances &amp; loans (gross)+trading sec (gross)+customer loans (gross)+debt buying (gross)+AFS+HTM</t>
  </si>
  <si>
    <t>-Opex / TOI</t>
  </si>
  <si>
    <t>-Provision x4 / avg gross customer loans (average of 2 quarter-end balances)</t>
  </si>
  <si>
    <t>NPAT attributable to parent x4 / avg parent equity (bsa78 - bsa210) (average of 2 quarter-end balances)</t>
  </si>
  <si>
    <t>NPAT x4 / avg total equity incl. MI (average of 2 quarter-end balances) [VIB-file definition]</t>
  </si>
  <si>
    <t>NPAT x4 / avg total assets (average of 2 quarter-end balances)</t>
  </si>
  <si>
    <t>-Tax / PBT</t>
  </si>
  <si>
    <t>Net fee income / TOI</t>
  </si>
  <si>
    <t>sum of quarterly NII over 4Q</t>
  </si>
  <si>
    <t>sum of quarterly Fee over 4Q</t>
  </si>
  <si>
    <t>sum of quarterly NonII over 4Q</t>
  </si>
  <si>
    <t>sum of quarterly TOI over 4Q</t>
  </si>
  <si>
    <t>sum of quarterly Opex over 4Q</t>
  </si>
  <si>
    <t>sum of quarterly PPOP over 4Q</t>
  </si>
  <si>
    <t>sum of quarterly Prov over 4Q</t>
  </si>
  <si>
    <t>sum of quarterly PBT over 4Q</t>
  </si>
  <si>
    <t>sum of quarterly NPAT over 4Q</t>
  </si>
  <si>
    <t>sum of quarterly NPAT_parent over 4Q</t>
  </si>
  <si>
    <t>NII x1 / avg IEA (average of 5 quarter-end balances); IEA=SBV balances+interbank balances &amp; loans (gross)+trading sec (gross)+customer loans (gross)+debt buying (gross)+AFS+HTM</t>
  </si>
  <si>
    <t>-Provision x1 / avg gross customer loans (average of 5 quarter-end balances)</t>
  </si>
  <si>
    <t>NPAT attributable to parent x1 / avg parent equity (bsa78 - bsa210) (average of 5 quarter-end balances)</t>
  </si>
  <si>
    <t>NPAT x1 / avg total equity incl. MI (average of 5 quarter-end balances) [VIB-file definition]</t>
  </si>
  <si>
    <t>NPAT x1 / avg total assets (average of 5 quarter-end balances)</t>
  </si>
  <si>
    <t>sum of quarterly NII over 2Q</t>
  </si>
  <si>
    <t>sum of quarterly Fee over 2Q</t>
  </si>
  <si>
    <t>sum of quarterly NonII over 2Q</t>
  </si>
  <si>
    <t>sum of quarterly TOI over 2Q</t>
  </si>
  <si>
    <t>sum of quarterly Opex over 2Q</t>
  </si>
  <si>
    <t>sum of quarterly PPOP over 2Q</t>
  </si>
  <si>
    <t>sum of quarterly Prov over 2Q</t>
  </si>
  <si>
    <t>sum of quarterly PBT over 2Q</t>
  </si>
  <si>
    <t>sum of quarterly NPAT over 2Q</t>
  </si>
  <si>
    <t>sum of quarterly NPAT_parent over 2Q</t>
  </si>
  <si>
    <t>NII x2 / avg IEA (average of 3 quarter-end balances); IEA=SBV balances+interbank balances &amp; loans (gross)+trading sec (gross)+customer loans (gross)+debt buying (gross)+AFS+HTM</t>
  </si>
  <si>
    <t>-Provision x2 / avg gross customer loans (average of 3 quarter-end balances)</t>
  </si>
  <si>
    <t>NPAT attributable to parent x2 / avg parent equity (bsa78 - bsa210) (average of 3 quarter-end balances)</t>
  </si>
  <si>
    <t>NPAT x2 / avg total equity incl. MI (average of 3 quarter-end balances) [VIB-file definition]</t>
  </si>
  <si>
    <t>NPAT x2 / avg total assets (average of 3 quarter-end balances)</t>
  </si>
  <si>
    <t>(Group3+4+5) / total graded loans</t>
  </si>
  <si>
    <t>Group 2 (special mention) / total graded loans</t>
  </si>
  <si>
    <t>Customer-loan loss reserve / NPL (Group 3-5)</t>
  </si>
  <si>
    <t>Current (demand) deposits / customer deposits [VIB-file definition]</t>
  </si>
  <si>
    <t>(Current + margin + special-purpose deposits) / customer deposits [matches Vietcap casaRatio]</t>
  </si>
  <si>
    <t>Gross customer loans / customer deposits (NOT the SBV Circular 22 regulatory LDR)</t>
  </si>
  <si>
    <t>Total equity (incl. MI) / total assets</t>
  </si>
  <si>
    <t>Gross loans period-end / prior Dec-end - 1</t>
  </si>
  <si>
    <t>Customer deposits period-end / prior Dec-end - 1</t>
  </si>
  <si>
    <t>Gross loans / same quarter-end prior year - 1</t>
  </si>
  <si>
    <t>Customer deposits / same quarter-end prior year - 1</t>
  </si>
  <si>
    <t>Total equity / (charter capital / 10,000 VND par) [VIB-file definition]</t>
  </si>
  <si>
    <t>Parent equity / (charter capital / 10,000)</t>
  </si>
  <si>
    <t>period-end Loans</t>
  </si>
  <si>
    <t>period-end Deposits</t>
  </si>
  <si>
    <t>period-end Assets</t>
  </si>
  <si>
    <t>period-end Equity</t>
  </si>
  <si>
    <t>period-end Equity_parent</t>
  </si>
  <si>
    <t>period-end Bonds</t>
  </si>
  <si>
    <t>Parent equity 2026Q2 / shares 3,735.4m (Vietcap stats numberOfSharesMktCap, 2026Q2 row; exceeds charter/10,000 -&gt; post-period share issuance)</t>
  </si>
  <si>
    <t>Parent equity 2026Q2 / shares 10,068.7m (Vietcap stats numberOfSharesMktCap, 2026Q2 row; exceeds charter/10,000 -&gt; post-period share issuance)</t>
  </si>
  <si>
    <t>fundamentals_VIB_MBB_quarterly.csv (Vietcap IQ raw/{T}_IS|BS|NOTE.json): isb27</t>
  </si>
  <si>
    <t>fundamentals_VIB_MBB_quarterly.csv (Vietcap IQ raw/{T}_IS|BS|NOTE.json): isb30</t>
  </si>
  <si>
    <t>fundamentals_VIB_MBB_quarterly.csv (Vietcap IQ raw/{T}_IS|BS|NOTE.json): isb38-isb27</t>
  </si>
  <si>
    <t>fundamentals_VIB_MBB_quarterly.csv (Vietcap IQ raw/{T}_IS|BS|NOTE.json): isb38</t>
  </si>
  <si>
    <t>fundamentals_VIB_MBB_quarterly.csv (Vietcap IQ raw/{T}_IS|BS|NOTE.json): isb39</t>
  </si>
  <si>
    <t>fundamentals_VIB_MBB_quarterly.csv (Vietcap IQ raw/{T}_IS|BS|NOTE.json): isb40</t>
  </si>
  <si>
    <t>fundamentals_VIB_MBB_quarterly.csv (Vietcap IQ raw/{T}_IS|BS|NOTE.json): isb41</t>
  </si>
  <si>
    <t>fundamentals_VIB_MBB_quarterly.csv (Vietcap IQ raw/{T}_IS|BS|NOTE.json): isa16</t>
  </si>
  <si>
    <t>fundamentals_VIB_MBB_quarterly.csv (Vietcap IQ raw/{T}_IS|BS|NOTE.json): isa20</t>
  </si>
  <si>
    <t>fundamentals_VIB_MBB_quarterly.csv (Vietcap IQ raw/{T}_IS|BS|NOTE.json): isa22</t>
  </si>
  <si>
    <t>fundamentals_VIB_MBB_quarterly.csv (Vietcap IQ raw/{T}_IS|BS|NOTE.json): isb27; bsb97+bsb258+bsb259+bsb100+bsb104+bsb262+bsb107+bsb108</t>
  </si>
  <si>
    <t>fundamentals_VIB_MBB_quarterly.csv (Vietcap IQ raw/{T}_IS|BS|NOTE.json): isb39, isb38</t>
  </si>
  <si>
    <t>fundamentals_VIB_MBB_quarterly.csv (Vietcap IQ raw/{T}_IS|BS|NOTE.json): isb41, bsb104</t>
  </si>
  <si>
    <t>fundamentals_VIB_MBB_quarterly.csv (Vietcap IQ raw/{T}_IS|BS|NOTE.json): isa22, bsa78, bsa210</t>
  </si>
  <si>
    <t>fundamentals_VIB_MBB_quarterly.csv (Vietcap IQ raw/{T}_IS|BS|NOTE.json): isa20, bsa78</t>
  </si>
  <si>
    <t>fundamentals_VIB_MBB_quarterly.csv (Vietcap IQ raw/{T}_IS|BS|NOTE.json): isa20, bsa53</t>
  </si>
  <si>
    <t>fundamentals_VIB_MBB_quarterly.csv (Vietcap IQ raw/{T}_IS|BS|NOTE.json): isa19, isa16</t>
  </si>
  <si>
    <t>fundamentals_VIB_MBB_quarterly.csv (Vietcap IQ raw/{T}_IS|BS|NOTE.json): isb30, isb38</t>
  </si>
  <si>
    <t>fundamentals_VIB_MBB_quarterly.csv (Vietcap IQ raw/{T}_IS|BS|NOTE.json): nob42,nob43,nob44,nob39</t>
  </si>
  <si>
    <t>fundamentals_VIB_MBB_quarterly.csv (Vietcap IQ raw/{T}_IS|BS|NOTE.json): nob41,nob39</t>
  </si>
  <si>
    <t>fundamentals_VIB_MBB_quarterly.csv (Vietcap IQ raw/{T}_IS|BS|NOTE.json): bsb105; nob42-44</t>
  </si>
  <si>
    <t>fundamentals_VIB_MBB_quarterly.csv (Vietcap IQ raw/{T}_IS|BS|NOTE.json): nob66,nob65</t>
  </si>
  <si>
    <t>fundamentals_VIB_MBB_quarterly.csv (Vietcap IQ raw/{T}_IS|BS|NOTE.json): nob66,nob69,nob70,nob65</t>
  </si>
  <si>
    <t>fundamentals_VIB_MBB_quarterly.csv (Vietcap IQ raw/{T}_IS|BS|NOTE.json): bsb104,bsb113</t>
  </si>
  <si>
    <t>fundamentals_VIB_MBB_quarterly.csv (Vietcap IQ raw/{T}_IS|BS|NOTE.json): bsa78,bsa53</t>
  </si>
  <si>
    <t>fundamentals_VIB_MBB_quarterly.csv (Vietcap IQ raw/{T}_IS|BS|NOTE.json): bsb104</t>
  </si>
  <si>
    <t>fundamentals_VIB_MBB_quarterly.csv (Vietcap IQ raw/{T}_IS|BS|NOTE.json): bsb113</t>
  </si>
  <si>
    <t>fundamentals_VIB_MBB_quarterly.csv (Vietcap IQ raw/{T}_IS|BS|NOTE.json): bsa78,bsa80</t>
  </si>
  <si>
    <t>fundamentals_VIB_MBB_quarterly.csv (Vietcap IQ raw/{T}_IS|BS|NOTE.json): bsa78,bsa210,bsa80</t>
  </si>
  <si>
    <t>fundamentals_VIB_MBB_quarterly.csv (Vietcap IQ raw/{T}_IS|BS|NOTE.json): bsa53</t>
  </si>
  <si>
    <t>fundamentals_VIB_MBB_quarterly.csv (Vietcap IQ raw/{T}_IS|BS|NOTE.json): bsa78</t>
  </si>
  <si>
    <t>fundamentals_VIB_MBB_quarterly.csv (Vietcap IQ raw/{T}_IS|BS|NOTE.json): bsa78-bsa210</t>
  </si>
  <si>
    <t>fundamentals_VIB_MBB_quarterly.csv (Vietcap IQ raw/{T}_IS|BS|NOTE.json): bsb116</t>
  </si>
  <si>
    <t>raw/VIB_stats.json numberOfSharesMktCap; bsa78-bsa210</t>
  </si>
  <si>
    <t>raw/MBB_stats.json numberOfSharesMktCap; bsa78-bsa210</t>
  </si>
  <si>
    <t>TTM_end</t>
  </si>
  <si>
    <t>TTM_window</t>
  </si>
  <si>
    <t>avg_assets_bn</t>
  </si>
  <si>
    <t>avg_parent_equity_bn</t>
  </si>
  <si>
    <t>NII/avgA_%</t>
  </si>
  <si>
    <t>NonII/avgA_%</t>
  </si>
  <si>
    <t>Fee_memo/avgA_%</t>
  </si>
  <si>
    <t>TOI/avgA_%</t>
  </si>
  <si>
    <t>Opex/avgA_%</t>
  </si>
  <si>
    <t>PPOP/avgA_%</t>
  </si>
  <si>
    <t>Prov/avgA_%</t>
  </si>
  <si>
    <t>PBT/avgA_%</t>
  </si>
  <si>
    <t>Tax/avgA_%</t>
  </si>
  <si>
    <t>NPAT/avgA_%</t>
  </si>
  <si>
    <t>MI/avgA_%</t>
  </si>
  <si>
    <t>NPAT_parent/avgA_%</t>
  </si>
  <si>
    <t>IEA/avgA_%</t>
  </si>
  <si>
    <t>tax_burden_NPAT/PBT</t>
  </si>
  <si>
    <t>MI_retention_parent/NPAT</t>
  </si>
  <si>
    <t>leverage_avgA/avgParentE_x</t>
  </si>
  <si>
    <t>ROA_parent_%</t>
  </si>
  <si>
    <t>ROE_direct_%</t>
  </si>
  <si>
    <t>chk_PBT_sum_components</t>
  </si>
  <si>
    <t>2024Q3</t>
  </si>
  <si>
    <t>2024Q4</t>
  </si>
  <si>
    <t>2025Q1</t>
  </si>
  <si>
    <t>2025Q3</t>
  </si>
  <si>
    <t>2025Q4</t>
  </si>
  <si>
    <t>2026Q1</t>
  </si>
  <si>
    <t>2023Q4-2024Q3</t>
  </si>
  <si>
    <t>2024Q1-2024Q4</t>
  </si>
  <si>
    <t>2024Q2-2025Q1</t>
  </si>
  <si>
    <t>2024Q4-2025Q3</t>
  </si>
  <si>
    <t>2025Q1-2025Q4</t>
  </si>
  <si>
    <t>2025Q2-2026Q1</t>
  </si>
  <si>
    <t>driver</t>
  </si>
  <si>
    <t>diff</t>
  </si>
  <si>
    <t>ROE_gap_contrib_pp</t>
  </si>
  <si>
    <t>method</t>
  </si>
  <si>
    <t>NII/avgA</t>
  </si>
  <si>
    <t>NonII/avgA</t>
  </si>
  <si>
    <t>Opex/avgA</t>
  </si>
  <si>
    <t>Prov/avgA</t>
  </si>
  <si>
    <t>tax &amp; MI retention (NPAT_parent/PBT)</t>
  </si>
  <si>
    <t>leverage (avgA/avg parent E)</t>
  </si>
  <si>
    <t>TOTAL ROE gap</t>
  </si>
  <si>
    <t>ROE=(PBT/avgA)x(NPAT/PBT)x(NPAT_parent/NPAT)x(avgA/avgParentE); gap split by midpoint (Shapley) rule, exact; PBT/A = NII+NonII+Opex+Prov (all /avgA)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</si>
</sst>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53</v>
      </c>
      <c r="D2" t="s">
        <v>57</v>
      </c>
      <c r="E2">
        <v>4367.969</v>
      </c>
      <c r="F2" t="s">
        <v>60</v>
      </c>
      <c r="G2">
        <v>3968.694</v>
      </c>
      <c r="H2">
        <v>10.06061439859056</v>
      </c>
      <c r="I2" t="s">
        <v>63</v>
      </c>
      <c r="J2" t="s">
        <v>66</v>
      </c>
      <c r="K2" t="s">
        <v>68</v>
      </c>
      <c r="L2">
        <f>NII</f>
        <v>0</v>
      </c>
      <c r="M2" t="s">
        <v>137</v>
      </c>
    </row>
    <row r="3" spans="1:13">
      <c r="A3" t="s">
        <v>13</v>
      </c>
      <c r="B3" t="s">
        <v>16</v>
      </c>
      <c r="C3" t="s">
        <v>53</v>
      </c>
      <c r="D3" t="s">
        <v>57</v>
      </c>
      <c r="E3">
        <v>1074.981</v>
      </c>
      <c r="F3" t="s">
        <v>60</v>
      </c>
      <c r="G3">
        <v>401.038</v>
      </c>
      <c r="H3">
        <v>168.0496611293693</v>
      </c>
      <c r="I3" t="s">
        <v>63</v>
      </c>
      <c r="J3" t="s">
        <v>66</v>
      </c>
      <c r="K3" t="s">
        <v>69</v>
      </c>
      <c r="L3">
        <f>Fee</f>
        <v>0</v>
      </c>
      <c r="M3" t="s">
        <v>138</v>
      </c>
    </row>
    <row r="4" spans="1:13">
      <c r="A4" t="s">
        <v>13</v>
      </c>
      <c r="B4" t="s">
        <v>17</v>
      </c>
      <c r="C4" t="s">
        <v>53</v>
      </c>
      <c r="D4" t="s">
        <v>57</v>
      </c>
      <c r="E4">
        <v>999.7709999999996</v>
      </c>
      <c r="F4" t="s">
        <v>60</v>
      </c>
      <c r="G4">
        <v>1148.124</v>
      </c>
      <c r="H4">
        <v>-12.9213395068826</v>
      </c>
      <c r="I4" t="s">
        <v>63</v>
      </c>
      <c r="J4" t="s">
        <v>66</v>
      </c>
      <c r="K4" t="s">
        <v>70</v>
      </c>
      <c r="L4">
        <f>NonII</f>
        <v>0</v>
      </c>
      <c r="M4" t="s">
        <v>139</v>
      </c>
    </row>
    <row r="5" spans="1:13">
      <c r="A5" t="s">
        <v>13</v>
      </c>
      <c r="B5" t="s">
        <v>18</v>
      </c>
      <c r="C5" t="s">
        <v>53</v>
      </c>
      <c r="D5" t="s">
        <v>57</v>
      </c>
      <c r="E5">
        <v>5367.74</v>
      </c>
      <c r="F5" t="s">
        <v>60</v>
      </c>
      <c r="G5">
        <v>5116.818</v>
      </c>
      <c r="H5">
        <v>4.903867989832733</v>
      </c>
      <c r="I5" t="s">
        <v>63</v>
      </c>
      <c r="J5" t="s">
        <v>66</v>
      </c>
      <c r="K5" t="s">
        <v>71</v>
      </c>
      <c r="L5">
        <f>TOI</f>
        <v>0</v>
      </c>
      <c r="M5" t="s">
        <v>140</v>
      </c>
    </row>
    <row r="6" spans="1:13">
      <c r="A6" t="s">
        <v>13</v>
      </c>
      <c r="B6" t="s">
        <v>19</v>
      </c>
      <c r="C6" t="s">
        <v>53</v>
      </c>
      <c r="D6" t="s">
        <v>57</v>
      </c>
      <c r="E6">
        <v>-1703.809</v>
      </c>
      <c r="F6" t="s">
        <v>60</v>
      </c>
      <c r="G6">
        <v>-1885.615</v>
      </c>
      <c r="H6">
        <v>-9.641734924679746</v>
      </c>
      <c r="I6" t="s">
        <v>63</v>
      </c>
      <c r="J6" t="s">
        <v>66</v>
      </c>
      <c r="K6" t="s">
        <v>72</v>
      </c>
      <c r="L6">
        <f>Opex</f>
        <v>0</v>
      </c>
      <c r="M6" t="s">
        <v>141</v>
      </c>
    </row>
    <row r="7" spans="1:13">
      <c r="A7" t="s">
        <v>13</v>
      </c>
      <c r="B7" t="s">
        <v>20</v>
      </c>
      <c r="C7" t="s">
        <v>53</v>
      </c>
      <c r="D7" t="s">
        <v>57</v>
      </c>
      <c r="E7">
        <v>3663.931</v>
      </c>
      <c r="F7" t="s">
        <v>60</v>
      </c>
      <c r="G7">
        <v>3231.203</v>
      </c>
      <c r="H7">
        <v>13.39216384733488</v>
      </c>
      <c r="I7" t="s">
        <v>63</v>
      </c>
      <c r="J7" t="s">
        <v>66</v>
      </c>
      <c r="K7" t="s">
        <v>73</v>
      </c>
      <c r="L7">
        <f>PPOP</f>
        <v>0</v>
      </c>
      <c r="M7" t="s">
        <v>142</v>
      </c>
    </row>
    <row r="8" spans="1:13">
      <c r="A8" t="s">
        <v>13</v>
      </c>
      <c r="B8" t="s">
        <v>21</v>
      </c>
      <c r="C8" t="s">
        <v>53</v>
      </c>
      <c r="D8" t="s">
        <v>57</v>
      </c>
      <c r="E8">
        <v>-1280.891</v>
      </c>
      <c r="F8" t="s">
        <v>60</v>
      </c>
      <c r="G8">
        <v>-635.6369999999999</v>
      </c>
      <c r="H8">
        <v>101.5129704532619</v>
      </c>
      <c r="I8" t="s">
        <v>63</v>
      </c>
      <c r="J8" t="s">
        <v>66</v>
      </c>
      <c r="K8" t="s">
        <v>74</v>
      </c>
      <c r="L8">
        <f>Prov</f>
        <v>0</v>
      </c>
      <c r="M8" t="s">
        <v>143</v>
      </c>
    </row>
    <row r="9" spans="1:13">
      <c r="A9" t="s">
        <v>13</v>
      </c>
      <c r="B9" t="s">
        <v>22</v>
      </c>
      <c r="C9" t="s">
        <v>53</v>
      </c>
      <c r="D9" t="s">
        <v>57</v>
      </c>
      <c r="E9">
        <v>2383.04</v>
      </c>
      <c r="F9" t="s">
        <v>60</v>
      </c>
      <c r="G9">
        <v>2595.566</v>
      </c>
      <c r="H9">
        <v>-8.188040681685605</v>
      </c>
      <c r="I9" t="s">
        <v>63</v>
      </c>
      <c r="J9" t="s">
        <v>66</v>
      </c>
      <c r="K9" t="s">
        <v>75</v>
      </c>
      <c r="L9">
        <f>PBT</f>
        <v>0</v>
      </c>
      <c r="M9" t="s">
        <v>144</v>
      </c>
    </row>
    <row r="10" spans="1:13">
      <c r="A10" t="s">
        <v>13</v>
      </c>
      <c r="B10" t="s">
        <v>23</v>
      </c>
      <c r="C10" t="s">
        <v>53</v>
      </c>
      <c r="D10" t="s">
        <v>57</v>
      </c>
      <c r="E10">
        <v>1905.424</v>
      </c>
      <c r="F10" t="s">
        <v>60</v>
      </c>
      <c r="G10">
        <v>2076.469</v>
      </c>
      <c r="H10">
        <v>-8.237300918048863</v>
      </c>
      <c r="I10" t="s">
        <v>63</v>
      </c>
      <c r="J10" t="s">
        <v>66</v>
      </c>
      <c r="K10" t="s">
        <v>76</v>
      </c>
      <c r="L10">
        <f>NPAT</f>
        <v>0</v>
      </c>
      <c r="M10" t="s">
        <v>145</v>
      </c>
    </row>
    <row r="11" spans="1:13">
      <c r="A11" t="s">
        <v>13</v>
      </c>
      <c r="B11" t="s">
        <v>24</v>
      </c>
      <c r="C11" t="s">
        <v>53</v>
      </c>
      <c r="D11" t="s">
        <v>57</v>
      </c>
      <c r="E11">
        <v>1905.424</v>
      </c>
      <c r="F11" t="s">
        <v>60</v>
      </c>
      <c r="G11">
        <v>2076.469</v>
      </c>
      <c r="H11">
        <v>-8.237300918048863</v>
      </c>
      <c r="I11" t="s">
        <v>63</v>
      </c>
      <c r="J11" t="s">
        <v>66</v>
      </c>
      <c r="K11" t="s">
        <v>77</v>
      </c>
      <c r="L11">
        <f>NPAT_parent</f>
        <v>0</v>
      </c>
      <c r="M11" t="s">
        <v>146</v>
      </c>
    </row>
    <row r="12" spans="1:13">
      <c r="A12" t="s">
        <v>13</v>
      </c>
      <c r="B12" t="s">
        <v>25</v>
      </c>
      <c r="C12" t="s">
        <v>53</v>
      </c>
      <c r="D12" t="s">
        <v>57</v>
      </c>
      <c r="E12">
        <v>3.109453843976764</v>
      </c>
      <c r="F12" t="s">
        <v>60</v>
      </c>
      <c r="G12">
        <v>3.118481456117584</v>
      </c>
      <c r="H12">
        <v>-0.009027612140819</v>
      </c>
      <c r="I12" t="s">
        <v>64</v>
      </c>
      <c r="J12" t="s">
        <v>67</v>
      </c>
      <c r="K12" t="s">
        <v>78</v>
      </c>
      <c r="L12">
        <f>NII*ann/AVERAGE(IEA)</f>
        <v>0</v>
      </c>
      <c r="M12" t="s">
        <v>147</v>
      </c>
    </row>
    <row r="13" spans="1:13">
      <c r="A13" t="s">
        <v>13</v>
      </c>
      <c r="B13" t="s">
        <v>26</v>
      </c>
      <c r="C13" t="s">
        <v>53</v>
      </c>
      <c r="D13" t="s">
        <v>57</v>
      </c>
      <c r="E13">
        <v>31.74164545972793</v>
      </c>
      <c r="F13" t="s">
        <v>60</v>
      </c>
      <c r="G13">
        <v>36.8513204886318</v>
      </c>
      <c r="H13">
        <v>-5.109675028903869</v>
      </c>
      <c r="I13" t="s">
        <v>64</v>
      </c>
      <c r="J13" t="s">
        <v>67</v>
      </c>
      <c r="K13" t="s">
        <v>79</v>
      </c>
      <c r="L13">
        <f>-Opex/TOI</f>
        <v>0</v>
      </c>
      <c r="M13" t="s">
        <v>148</v>
      </c>
    </row>
    <row r="14" spans="1:13">
      <c r="A14" t="s">
        <v>13</v>
      </c>
      <c r="B14" t="s">
        <v>27</v>
      </c>
      <c r="C14" t="s">
        <v>53</v>
      </c>
      <c r="D14" t="s">
        <v>57</v>
      </c>
      <c r="E14">
        <v>1.308131591119392</v>
      </c>
      <c r="F14" t="s">
        <v>60</v>
      </c>
      <c r="G14">
        <v>0.7367308936727495</v>
      </c>
      <c r="H14">
        <v>0.5714006974466426</v>
      </c>
      <c r="I14" t="s">
        <v>64</v>
      </c>
      <c r="J14" t="s">
        <v>67</v>
      </c>
      <c r="K14" t="s">
        <v>80</v>
      </c>
      <c r="L14">
        <f>-Prov*ann/AVERAGE(Loans)</f>
        <v>0</v>
      </c>
      <c r="M14" t="s">
        <v>149</v>
      </c>
    </row>
    <row r="15" spans="1:13">
      <c r="A15" t="s">
        <v>13</v>
      </c>
      <c r="B15" t="s">
        <v>28</v>
      </c>
      <c r="C15" t="s">
        <v>53</v>
      </c>
      <c r="D15" t="s">
        <v>57</v>
      </c>
      <c r="E15">
        <v>15.71776920653394</v>
      </c>
      <c r="F15" t="s">
        <v>60</v>
      </c>
      <c r="G15">
        <v>19.03467414974742</v>
      </c>
      <c r="H15">
        <v>-3.316904943213476</v>
      </c>
      <c r="I15" t="s">
        <v>64</v>
      </c>
      <c r="J15" t="s">
        <v>67</v>
      </c>
      <c r="K15" t="s">
        <v>81</v>
      </c>
      <c r="L15">
        <f>NPAT_parent*ann/AVERAGE(Equity-MI)</f>
        <v>0</v>
      </c>
      <c r="M15" t="s">
        <v>150</v>
      </c>
    </row>
    <row r="16" spans="1:13">
      <c r="A16" t="s">
        <v>13</v>
      </c>
      <c r="B16" t="s">
        <v>29</v>
      </c>
      <c r="C16" t="s">
        <v>53</v>
      </c>
      <c r="D16" t="s">
        <v>57</v>
      </c>
      <c r="E16">
        <v>15.71776920653394</v>
      </c>
      <c r="F16" t="s">
        <v>60</v>
      </c>
      <c r="G16">
        <v>19.03467414974742</v>
      </c>
      <c r="H16">
        <v>-3.316904943213476</v>
      </c>
      <c r="I16" t="s">
        <v>64</v>
      </c>
      <c r="J16" t="s">
        <v>67</v>
      </c>
      <c r="K16" t="s">
        <v>82</v>
      </c>
      <c r="L16">
        <f>NPAT*ann/AVERAGE(Equity)</f>
        <v>0</v>
      </c>
      <c r="M16" t="s">
        <v>151</v>
      </c>
    </row>
    <row r="17" spans="1:13">
      <c r="A17" t="s">
        <v>13</v>
      </c>
      <c r="B17" t="s">
        <v>30</v>
      </c>
      <c r="C17" t="s">
        <v>53</v>
      </c>
      <c r="D17" t="s">
        <v>57</v>
      </c>
      <c r="E17">
        <v>1.331133218735692</v>
      </c>
      <c r="F17" t="s">
        <v>60</v>
      </c>
      <c r="G17">
        <v>1.618075492337818</v>
      </c>
      <c r="H17">
        <v>-0.2869422736021259</v>
      </c>
      <c r="I17" t="s">
        <v>64</v>
      </c>
      <c r="J17" t="s">
        <v>67</v>
      </c>
      <c r="K17" t="s">
        <v>83</v>
      </c>
      <c r="L17">
        <f>NPAT*ann/AVERAGE(Assets)</f>
        <v>0</v>
      </c>
      <c r="M17" t="s">
        <v>152</v>
      </c>
    </row>
    <row r="18" spans="1:13">
      <c r="A18" t="s">
        <v>13</v>
      </c>
      <c r="B18" t="s">
        <v>31</v>
      </c>
      <c r="C18" t="s">
        <v>53</v>
      </c>
      <c r="D18" t="s">
        <v>57</v>
      </c>
      <c r="E18">
        <v>20.04229891231368</v>
      </c>
      <c r="F18" t="s">
        <v>60</v>
      </c>
      <c r="G18">
        <v>19.99937585867591</v>
      </c>
      <c r="H18">
        <v>0.0429230536377716</v>
      </c>
      <c r="I18" t="s">
        <v>64</v>
      </c>
      <c r="J18" t="s">
        <v>67</v>
      </c>
      <c r="K18" t="s">
        <v>84</v>
      </c>
      <c r="L18">
        <f>-Tax/PBT</f>
        <v>0</v>
      </c>
      <c r="M18" t="s">
        <v>153</v>
      </c>
    </row>
    <row r="19" spans="1:13">
      <c r="A19" t="s">
        <v>13</v>
      </c>
      <c r="B19" t="s">
        <v>32</v>
      </c>
      <c r="C19" t="s">
        <v>53</v>
      </c>
      <c r="D19" t="s">
        <v>57</v>
      </c>
      <c r="E19">
        <v>20.02669652404923</v>
      </c>
      <c r="F19" t="s">
        <v>60</v>
      </c>
      <c r="G19">
        <v>7.837644411038267</v>
      </c>
      <c r="H19">
        <v>12.18905211301096</v>
      </c>
      <c r="I19" t="s">
        <v>64</v>
      </c>
      <c r="J19" t="s">
        <v>67</v>
      </c>
      <c r="K19" t="s">
        <v>85</v>
      </c>
      <c r="L19">
        <f>Fee/TOI</f>
        <v>0</v>
      </c>
      <c r="M19" t="s">
        <v>154</v>
      </c>
    </row>
    <row r="20" spans="1:13">
      <c r="A20" t="s">
        <v>13</v>
      </c>
      <c r="B20" t="s">
        <v>15</v>
      </c>
      <c r="C20" t="s">
        <v>54</v>
      </c>
      <c r="D20" t="s">
        <v>58</v>
      </c>
      <c r="E20">
        <v>16792.892</v>
      </c>
      <c r="F20" t="s">
        <v>61</v>
      </c>
      <c r="G20">
        <v>15781.508</v>
      </c>
      <c r="H20">
        <v>6.408665128833069</v>
      </c>
      <c r="I20" t="s">
        <v>63</v>
      </c>
      <c r="J20" t="s">
        <v>66</v>
      </c>
      <c r="K20" t="s">
        <v>86</v>
      </c>
      <c r="L20">
        <f>SUM(NII range)</f>
        <v>0</v>
      </c>
      <c r="M20" t="s">
        <v>137</v>
      </c>
    </row>
    <row r="21" spans="1:13">
      <c r="A21" t="s">
        <v>13</v>
      </c>
      <c r="B21" t="s">
        <v>16</v>
      </c>
      <c r="C21" t="s">
        <v>54</v>
      </c>
      <c r="D21" t="s">
        <v>58</v>
      </c>
      <c r="E21">
        <v>4391.034</v>
      </c>
      <c r="F21" t="s">
        <v>61</v>
      </c>
      <c r="G21">
        <v>1742.097</v>
      </c>
      <c r="H21">
        <v>152.0545067237932</v>
      </c>
      <c r="I21" t="s">
        <v>63</v>
      </c>
      <c r="J21" t="s">
        <v>66</v>
      </c>
      <c r="K21" t="s">
        <v>87</v>
      </c>
      <c r="L21">
        <f>SUM(Fee range)</f>
        <v>0</v>
      </c>
      <c r="M21" t="s">
        <v>138</v>
      </c>
    </row>
    <row r="22" spans="1:13">
      <c r="A22" t="s">
        <v>13</v>
      </c>
      <c r="B22" t="s">
        <v>17</v>
      </c>
      <c r="C22" t="s">
        <v>54</v>
      </c>
      <c r="D22" t="s">
        <v>58</v>
      </c>
      <c r="E22">
        <v>4723.852000000001</v>
      </c>
      <c r="F22" t="s">
        <v>61</v>
      </c>
      <c r="G22">
        <v>4147.817</v>
      </c>
      <c r="H22">
        <v>13.8876666931063</v>
      </c>
      <c r="I22" t="s">
        <v>63</v>
      </c>
      <c r="J22" t="s">
        <v>66</v>
      </c>
      <c r="K22" t="s">
        <v>88</v>
      </c>
      <c r="L22">
        <f>SUM(NonII range)</f>
        <v>0</v>
      </c>
      <c r="M22" t="s">
        <v>139</v>
      </c>
    </row>
    <row r="23" spans="1:13">
      <c r="A23" t="s">
        <v>13</v>
      </c>
      <c r="B23" t="s">
        <v>18</v>
      </c>
      <c r="C23" t="s">
        <v>54</v>
      </c>
      <c r="D23" t="s">
        <v>58</v>
      </c>
      <c r="E23">
        <v>21516.744</v>
      </c>
      <c r="F23" t="s">
        <v>61</v>
      </c>
      <c r="G23">
        <v>19929.325</v>
      </c>
      <c r="H23">
        <v>7.965242174534271</v>
      </c>
      <c r="I23" t="s">
        <v>63</v>
      </c>
      <c r="J23" t="s">
        <v>66</v>
      </c>
      <c r="K23" t="s">
        <v>89</v>
      </c>
      <c r="L23">
        <f>SUM(TOI range)</f>
        <v>0</v>
      </c>
      <c r="M23" t="s">
        <v>140</v>
      </c>
    </row>
    <row r="24" spans="1:13">
      <c r="A24" t="s">
        <v>13</v>
      </c>
      <c r="B24" t="s">
        <v>19</v>
      </c>
      <c r="C24" t="s">
        <v>54</v>
      </c>
      <c r="D24" t="s">
        <v>58</v>
      </c>
      <c r="E24">
        <v>-7346.907</v>
      </c>
      <c r="F24" t="s">
        <v>61</v>
      </c>
      <c r="G24">
        <v>-7178.66</v>
      </c>
      <c r="H24">
        <v>2.343710386060915</v>
      </c>
      <c r="I24" t="s">
        <v>63</v>
      </c>
      <c r="J24" t="s">
        <v>66</v>
      </c>
      <c r="K24" t="s">
        <v>90</v>
      </c>
      <c r="L24">
        <f>SUM(Opex range)</f>
        <v>0</v>
      </c>
      <c r="M24" t="s">
        <v>141</v>
      </c>
    </row>
    <row r="25" spans="1:13">
      <c r="A25" t="s">
        <v>13</v>
      </c>
      <c r="B25" t="s">
        <v>20</v>
      </c>
      <c r="C25" t="s">
        <v>54</v>
      </c>
      <c r="D25" t="s">
        <v>58</v>
      </c>
      <c r="E25">
        <v>14169.837</v>
      </c>
      <c r="F25" t="s">
        <v>61</v>
      </c>
      <c r="G25">
        <v>12750.665</v>
      </c>
      <c r="H25">
        <v>11.1301802690291</v>
      </c>
      <c r="I25" t="s">
        <v>63</v>
      </c>
      <c r="J25" t="s">
        <v>66</v>
      </c>
      <c r="K25" t="s">
        <v>91</v>
      </c>
      <c r="L25">
        <f>SUM(PPOP range)</f>
        <v>0</v>
      </c>
      <c r="M25" t="s">
        <v>142</v>
      </c>
    </row>
    <row r="26" spans="1:13">
      <c r="A26" t="s">
        <v>13</v>
      </c>
      <c r="B26" t="s">
        <v>21</v>
      </c>
      <c r="C26" t="s">
        <v>54</v>
      </c>
      <c r="D26" t="s">
        <v>58</v>
      </c>
      <c r="E26">
        <v>-4895.867</v>
      </c>
      <c r="F26" t="s">
        <v>61</v>
      </c>
      <c r="G26">
        <v>-3335.054</v>
      </c>
      <c r="H26">
        <v>46.80023172038594</v>
      </c>
      <c r="I26" t="s">
        <v>63</v>
      </c>
      <c r="J26" t="s">
        <v>66</v>
      </c>
      <c r="K26" t="s">
        <v>92</v>
      </c>
      <c r="L26">
        <f>SUM(Prov range)</f>
        <v>0</v>
      </c>
      <c r="M26" t="s">
        <v>143</v>
      </c>
    </row>
    <row r="27" spans="1:13">
      <c r="A27" t="s">
        <v>13</v>
      </c>
      <c r="B27" t="s">
        <v>22</v>
      </c>
      <c r="C27" t="s">
        <v>54</v>
      </c>
      <c r="D27" t="s">
        <v>58</v>
      </c>
      <c r="E27">
        <v>9273.969999999999</v>
      </c>
      <c r="F27" t="s">
        <v>61</v>
      </c>
      <c r="G27">
        <v>9415.611000000001</v>
      </c>
      <c r="H27">
        <v>-1.504320856076147</v>
      </c>
      <c r="I27" t="s">
        <v>63</v>
      </c>
      <c r="J27" t="s">
        <v>66</v>
      </c>
      <c r="K27" t="s">
        <v>93</v>
      </c>
      <c r="L27">
        <f>SUM(PBT range)</f>
        <v>0</v>
      </c>
      <c r="M27" t="s">
        <v>144</v>
      </c>
    </row>
    <row r="28" spans="1:13">
      <c r="A28" t="s">
        <v>13</v>
      </c>
      <c r="B28" t="s">
        <v>23</v>
      </c>
      <c r="C28" t="s">
        <v>54</v>
      </c>
      <c r="D28" t="s">
        <v>58</v>
      </c>
      <c r="E28">
        <v>7419.112</v>
      </c>
      <c r="F28" t="s">
        <v>61</v>
      </c>
      <c r="G28">
        <v>7533.298</v>
      </c>
      <c r="H28">
        <v>-1.515750472103983</v>
      </c>
      <c r="I28" t="s">
        <v>63</v>
      </c>
      <c r="J28" t="s">
        <v>66</v>
      </c>
      <c r="K28" t="s">
        <v>94</v>
      </c>
      <c r="L28">
        <f>SUM(NPAT range)</f>
        <v>0</v>
      </c>
      <c r="M28" t="s">
        <v>145</v>
      </c>
    </row>
    <row r="29" spans="1:13">
      <c r="A29" t="s">
        <v>13</v>
      </c>
      <c r="B29" t="s">
        <v>24</v>
      </c>
      <c r="C29" t="s">
        <v>54</v>
      </c>
      <c r="D29" t="s">
        <v>58</v>
      </c>
      <c r="E29">
        <v>7419.112</v>
      </c>
      <c r="F29" t="s">
        <v>61</v>
      </c>
      <c r="G29">
        <v>7533.298</v>
      </c>
      <c r="H29">
        <v>-1.515750472103983</v>
      </c>
      <c r="I29" t="s">
        <v>63</v>
      </c>
      <c r="J29" t="s">
        <v>66</v>
      </c>
      <c r="K29" t="s">
        <v>95</v>
      </c>
      <c r="L29">
        <f>SUM(NPAT_parent range)</f>
        <v>0</v>
      </c>
      <c r="M29" t="s">
        <v>146</v>
      </c>
    </row>
    <row r="30" spans="1:13">
      <c r="A30" t="s">
        <v>13</v>
      </c>
      <c r="B30" t="s">
        <v>25</v>
      </c>
      <c r="C30" t="s">
        <v>54</v>
      </c>
      <c r="D30" t="s">
        <v>58</v>
      </c>
      <c r="E30">
        <v>3.069506866448584</v>
      </c>
      <c r="F30" t="s">
        <v>61</v>
      </c>
      <c r="G30">
        <v>3.316669523185331</v>
      </c>
      <c r="H30">
        <v>-0.2471626567367471</v>
      </c>
      <c r="I30" t="s">
        <v>64</v>
      </c>
      <c r="J30" t="s">
        <v>67</v>
      </c>
      <c r="K30" t="s">
        <v>96</v>
      </c>
      <c r="L30">
        <f>NII*ann/AVERAGE(IEA)</f>
        <v>0</v>
      </c>
      <c r="M30" t="s">
        <v>147</v>
      </c>
    </row>
    <row r="31" spans="1:13">
      <c r="A31" t="s">
        <v>13</v>
      </c>
      <c r="B31" t="s">
        <v>26</v>
      </c>
      <c r="C31" t="s">
        <v>54</v>
      </c>
      <c r="D31" t="s">
        <v>58</v>
      </c>
      <c r="E31">
        <v>34.14506860331657</v>
      </c>
      <c r="F31" t="s">
        <v>61</v>
      </c>
      <c r="G31">
        <v>36.02058775196853</v>
      </c>
      <c r="H31">
        <v>-1.875519148651961</v>
      </c>
      <c r="I31" t="s">
        <v>64</v>
      </c>
      <c r="J31" t="s">
        <v>67</v>
      </c>
      <c r="K31" t="s">
        <v>79</v>
      </c>
      <c r="L31">
        <f>-Opex/TOI</f>
        <v>0</v>
      </c>
      <c r="M31" t="s">
        <v>148</v>
      </c>
    </row>
    <row r="32" spans="1:13">
      <c r="A32" t="s">
        <v>13</v>
      </c>
      <c r="B32" t="s">
        <v>27</v>
      </c>
      <c r="C32" t="s">
        <v>54</v>
      </c>
      <c r="D32" t="s">
        <v>58</v>
      </c>
      <c r="E32">
        <v>1.292389074062207</v>
      </c>
      <c r="F32" t="s">
        <v>61</v>
      </c>
      <c r="G32">
        <v>1.04830431761349</v>
      </c>
      <c r="H32">
        <v>0.2440847564487167</v>
      </c>
      <c r="I32" t="s">
        <v>64</v>
      </c>
      <c r="J32" t="s">
        <v>67</v>
      </c>
      <c r="K32" t="s">
        <v>97</v>
      </c>
      <c r="L32">
        <f>-Prov*ann/AVERAGE(Loans)</f>
        <v>0</v>
      </c>
      <c r="M32" t="s">
        <v>149</v>
      </c>
    </row>
    <row r="33" spans="1:13">
      <c r="A33" t="s">
        <v>13</v>
      </c>
      <c r="B33" t="s">
        <v>28</v>
      </c>
      <c r="C33" t="s">
        <v>54</v>
      </c>
      <c r="D33" t="s">
        <v>58</v>
      </c>
      <c r="E33">
        <v>15.93628845814709</v>
      </c>
      <c r="F33" t="s">
        <v>61</v>
      </c>
      <c r="G33">
        <v>18.15905984983097</v>
      </c>
      <c r="H33">
        <v>-2.22277139168388</v>
      </c>
      <c r="I33" t="s">
        <v>64</v>
      </c>
      <c r="J33" t="s">
        <v>67</v>
      </c>
      <c r="K33" t="s">
        <v>98</v>
      </c>
      <c r="L33">
        <f>NPAT_parent*ann/AVERAGE(Equity-MI)</f>
        <v>0</v>
      </c>
      <c r="M33" t="s">
        <v>150</v>
      </c>
    </row>
    <row r="34" spans="1:13">
      <c r="A34" t="s">
        <v>13</v>
      </c>
      <c r="B34" t="s">
        <v>29</v>
      </c>
      <c r="C34" t="s">
        <v>54</v>
      </c>
      <c r="D34" t="s">
        <v>58</v>
      </c>
      <c r="E34">
        <v>15.93628845814709</v>
      </c>
      <c r="F34" t="s">
        <v>61</v>
      </c>
      <c r="G34">
        <v>18.15905984983097</v>
      </c>
      <c r="H34">
        <v>-2.22277139168388</v>
      </c>
      <c r="I34" t="s">
        <v>64</v>
      </c>
      <c r="J34" t="s">
        <v>67</v>
      </c>
      <c r="K34" t="s">
        <v>99</v>
      </c>
      <c r="L34">
        <f>NPAT*ann/AVERAGE(Equity)</f>
        <v>0</v>
      </c>
      <c r="M34" t="s">
        <v>151</v>
      </c>
    </row>
    <row r="35" spans="1:13">
      <c r="A35" t="s">
        <v>13</v>
      </c>
      <c r="B35" t="s">
        <v>30</v>
      </c>
      <c r="C35" t="s">
        <v>54</v>
      </c>
      <c r="D35" t="s">
        <v>58</v>
      </c>
      <c r="E35">
        <v>1.33643446248238</v>
      </c>
      <c r="F35" t="s">
        <v>61</v>
      </c>
      <c r="G35">
        <v>1.571968971882961</v>
      </c>
      <c r="H35">
        <v>-0.2355345094005807</v>
      </c>
      <c r="I35" t="s">
        <v>64</v>
      </c>
      <c r="J35" t="s">
        <v>67</v>
      </c>
      <c r="K35" t="s">
        <v>100</v>
      </c>
      <c r="L35">
        <f>NPAT*ann/AVERAGE(Assets)</f>
        <v>0</v>
      </c>
      <c r="M35" t="s">
        <v>152</v>
      </c>
    </row>
    <row r="36" spans="1:13">
      <c r="A36" t="s">
        <v>13</v>
      </c>
      <c r="B36" t="s">
        <v>31</v>
      </c>
      <c r="C36" t="s">
        <v>54</v>
      </c>
      <c r="D36" t="s">
        <v>58</v>
      </c>
      <c r="E36">
        <v>20.00069010359101</v>
      </c>
      <c r="F36" t="s">
        <v>61</v>
      </c>
      <c r="G36">
        <v>19.99140576219643</v>
      </c>
      <c r="H36">
        <v>0.0092843413945935</v>
      </c>
      <c r="I36" t="s">
        <v>64</v>
      </c>
      <c r="J36" t="s">
        <v>67</v>
      </c>
      <c r="K36" t="s">
        <v>84</v>
      </c>
      <c r="L36">
        <f>-Tax/PBT</f>
        <v>0</v>
      </c>
      <c r="M36" t="s">
        <v>153</v>
      </c>
    </row>
    <row r="37" spans="1:13">
      <c r="A37" t="s">
        <v>13</v>
      </c>
      <c r="B37" t="s">
        <v>32</v>
      </c>
      <c r="C37" t="s">
        <v>54</v>
      </c>
      <c r="D37" t="s">
        <v>58</v>
      </c>
      <c r="E37">
        <v>20.40752076615309</v>
      </c>
      <c r="F37" t="s">
        <v>61</v>
      </c>
      <c r="G37">
        <v>8.741374833317236</v>
      </c>
      <c r="H37">
        <v>11.66614593283586</v>
      </c>
      <c r="I37" t="s">
        <v>64</v>
      </c>
      <c r="J37" t="s">
        <v>67</v>
      </c>
      <c r="K37" t="s">
        <v>85</v>
      </c>
      <c r="L37">
        <f>Fee/TOI</f>
        <v>0</v>
      </c>
      <c r="M37" t="s">
        <v>154</v>
      </c>
    </row>
    <row r="38" spans="1:13">
      <c r="A38" t="s">
        <v>13</v>
      </c>
      <c r="B38" t="s">
        <v>15</v>
      </c>
      <c r="C38" t="s">
        <v>55</v>
      </c>
      <c r="D38" t="s">
        <v>59</v>
      </c>
      <c r="E38">
        <v>8406.535</v>
      </c>
      <c r="F38" t="s">
        <v>62</v>
      </c>
      <c r="G38">
        <v>7705.803</v>
      </c>
      <c r="H38">
        <v>9.093562345157279</v>
      </c>
      <c r="I38" t="s">
        <v>63</v>
      </c>
      <c r="J38" t="s">
        <v>66</v>
      </c>
      <c r="K38" t="s">
        <v>101</v>
      </c>
      <c r="L38">
        <f>SUM(NII range)</f>
        <v>0</v>
      </c>
      <c r="M38" t="s">
        <v>137</v>
      </c>
    </row>
    <row r="39" spans="1:13">
      <c r="A39" t="s">
        <v>13</v>
      </c>
      <c r="B39" t="s">
        <v>16</v>
      </c>
      <c r="C39" t="s">
        <v>55</v>
      </c>
      <c r="D39" t="s">
        <v>59</v>
      </c>
      <c r="E39">
        <v>3064.461</v>
      </c>
      <c r="F39" t="s">
        <v>62</v>
      </c>
      <c r="G39">
        <v>778.768</v>
      </c>
      <c r="H39">
        <v>293.5011453988865</v>
      </c>
      <c r="I39" t="s">
        <v>63</v>
      </c>
      <c r="J39" t="s">
        <v>66</v>
      </c>
      <c r="K39" t="s">
        <v>102</v>
      </c>
      <c r="L39">
        <f>SUM(Fee range)</f>
        <v>0</v>
      </c>
      <c r="M39" t="s">
        <v>138</v>
      </c>
    </row>
    <row r="40" spans="1:13">
      <c r="A40" t="s">
        <v>13</v>
      </c>
      <c r="B40" t="s">
        <v>17</v>
      </c>
      <c r="C40" t="s">
        <v>55</v>
      </c>
      <c r="D40" t="s">
        <v>59</v>
      </c>
      <c r="E40">
        <v>2821.541</v>
      </c>
      <c r="F40" t="s">
        <v>62</v>
      </c>
      <c r="G40">
        <v>2012.17</v>
      </c>
      <c r="H40">
        <v>40.22378824850781</v>
      </c>
      <c r="I40" t="s">
        <v>63</v>
      </c>
      <c r="J40" t="s">
        <v>66</v>
      </c>
      <c r="K40" t="s">
        <v>103</v>
      </c>
      <c r="L40">
        <f>SUM(NonII range)</f>
        <v>0</v>
      </c>
      <c r="M40" t="s">
        <v>139</v>
      </c>
    </row>
    <row r="41" spans="1:13">
      <c r="A41" t="s">
        <v>13</v>
      </c>
      <c r="B41" t="s">
        <v>18</v>
      </c>
      <c r="C41" t="s">
        <v>55</v>
      </c>
      <c r="D41" t="s">
        <v>59</v>
      </c>
      <c r="E41">
        <v>11228.076</v>
      </c>
      <c r="F41" t="s">
        <v>62</v>
      </c>
      <c r="G41">
        <v>9717.973</v>
      </c>
      <c r="H41">
        <v>15.53927964195827</v>
      </c>
      <c r="I41" t="s">
        <v>63</v>
      </c>
      <c r="J41" t="s">
        <v>66</v>
      </c>
      <c r="K41" t="s">
        <v>104</v>
      </c>
      <c r="L41">
        <f>SUM(TOI range)</f>
        <v>0</v>
      </c>
      <c r="M41" t="s">
        <v>140</v>
      </c>
    </row>
    <row r="42" spans="1:13">
      <c r="A42" t="s">
        <v>13</v>
      </c>
      <c r="B42" t="s">
        <v>19</v>
      </c>
      <c r="C42" t="s">
        <v>55</v>
      </c>
      <c r="D42" t="s">
        <v>59</v>
      </c>
      <c r="E42">
        <v>-3556.551</v>
      </c>
      <c r="F42" t="s">
        <v>62</v>
      </c>
      <c r="G42">
        <v>-3644.65</v>
      </c>
      <c r="H42">
        <v>-2.417214272975465</v>
      </c>
      <c r="I42" t="s">
        <v>63</v>
      </c>
      <c r="J42" t="s">
        <v>66</v>
      </c>
      <c r="K42" t="s">
        <v>105</v>
      </c>
      <c r="L42">
        <f>SUM(Opex range)</f>
        <v>0</v>
      </c>
      <c r="M42" t="s">
        <v>141</v>
      </c>
    </row>
    <row r="43" spans="1:13">
      <c r="A43" t="s">
        <v>13</v>
      </c>
      <c r="B43" t="s">
        <v>20</v>
      </c>
      <c r="C43" t="s">
        <v>55</v>
      </c>
      <c r="D43" t="s">
        <v>59</v>
      </c>
      <c r="E43">
        <v>7671.525</v>
      </c>
      <c r="F43" t="s">
        <v>62</v>
      </c>
      <c r="G43">
        <v>6073.323</v>
      </c>
      <c r="H43">
        <v>26.31511612341382</v>
      </c>
      <c r="I43" t="s">
        <v>63</v>
      </c>
      <c r="J43" t="s">
        <v>66</v>
      </c>
      <c r="K43" t="s">
        <v>106</v>
      </c>
      <c r="L43">
        <f>SUM(PPOP range)</f>
        <v>0</v>
      </c>
      <c r="M43" t="s">
        <v>142</v>
      </c>
    </row>
    <row r="44" spans="1:13">
      <c r="A44" t="s">
        <v>13</v>
      </c>
      <c r="B44" t="s">
        <v>21</v>
      </c>
      <c r="C44" t="s">
        <v>55</v>
      </c>
      <c r="D44" t="s">
        <v>59</v>
      </c>
      <c r="E44">
        <v>-2485.817</v>
      </c>
      <c r="F44" t="s">
        <v>62</v>
      </c>
      <c r="G44">
        <v>-1056.969</v>
      </c>
      <c r="H44">
        <v>135.1835295074879</v>
      </c>
      <c r="I44" t="s">
        <v>63</v>
      </c>
      <c r="J44" t="s">
        <v>66</v>
      </c>
      <c r="K44" t="s">
        <v>107</v>
      </c>
      <c r="L44">
        <f>SUM(Prov range)</f>
        <v>0</v>
      </c>
      <c r="M44" t="s">
        <v>143</v>
      </c>
    </row>
    <row r="45" spans="1:13">
      <c r="A45" t="s">
        <v>13</v>
      </c>
      <c r="B45" t="s">
        <v>22</v>
      </c>
      <c r="C45" t="s">
        <v>55</v>
      </c>
      <c r="D45" t="s">
        <v>59</v>
      </c>
      <c r="E45">
        <v>5185.708000000001</v>
      </c>
      <c r="F45" t="s">
        <v>62</v>
      </c>
      <c r="G45">
        <v>5016.353999999999</v>
      </c>
      <c r="H45">
        <v>3.376037656034669</v>
      </c>
      <c r="I45" t="s">
        <v>63</v>
      </c>
      <c r="J45" t="s">
        <v>66</v>
      </c>
      <c r="K45" t="s">
        <v>108</v>
      </c>
      <c r="L45">
        <f>SUM(PBT range)</f>
        <v>0</v>
      </c>
      <c r="M45" t="s">
        <v>144</v>
      </c>
    </row>
    <row r="46" spans="1:13">
      <c r="A46" t="s">
        <v>13</v>
      </c>
      <c r="B46" t="s">
        <v>23</v>
      </c>
      <c r="C46" t="s">
        <v>55</v>
      </c>
      <c r="D46" t="s">
        <v>59</v>
      </c>
      <c r="E46">
        <v>4146.615</v>
      </c>
      <c r="F46" t="s">
        <v>62</v>
      </c>
      <c r="G46">
        <v>4012.933</v>
      </c>
      <c r="H46">
        <v>3.331279141715049</v>
      </c>
      <c r="I46" t="s">
        <v>63</v>
      </c>
      <c r="J46" t="s">
        <v>66</v>
      </c>
      <c r="K46" t="s">
        <v>109</v>
      </c>
      <c r="L46">
        <f>SUM(NPAT range)</f>
        <v>0</v>
      </c>
      <c r="M46" t="s">
        <v>145</v>
      </c>
    </row>
    <row r="47" spans="1:13">
      <c r="A47" t="s">
        <v>13</v>
      </c>
      <c r="B47" t="s">
        <v>24</v>
      </c>
      <c r="C47" t="s">
        <v>55</v>
      </c>
      <c r="D47" t="s">
        <v>59</v>
      </c>
      <c r="E47">
        <v>4146.615</v>
      </c>
      <c r="F47" t="s">
        <v>62</v>
      </c>
      <c r="G47">
        <v>4012.933</v>
      </c>
      <c r="H47">
        <v>3.331279141715049</v>
      </c>
      <c r="I47" t="s">
        <v>63</v>
      </c>
      <c r="J47" t="s">
        <v>66</v>
      </c>
      <c r="K47" t="s">
        <v>110</v>
      </c>
      <c r="L47">
        <f>SUM(NPAT_parent range)</f>
        <v>0</v>
      </c>
      <c r="M47" t="s">
        <v>146</v>
      </c>
    </row>
    <row r="48" spans="1:13">
      <c r="A48" t="s">
        <v>13</v>
      </c>
      <c r="B48" t="s">
        <v>25</v>
      </c>
      <c r="C48" t="s">
        <v>55</v>
      </c>
      <c r="D48" t="s">
        <v>59</v>
      </c>
      <c r="E48">
        <v>3.019722922133097</v>
      </c>
      <c r="F48" t="s">
        <v>62</v>
      </c>
      <c r="G48">
        <v>3.065941481219182</v>
      </c>
      <c r="H48">
        <v>-0.046218559086085</v>
      </c>
      <c r="I48" t="s">
        <v>64</v>
      </c>
      <c r="J48" t="s">
        <v>67</v>
      </c>
      <c r="K48" t="s">
        <v>111</v>
      </c>
      <c r="L48">
        <f>NII*ann/AVERAGE(IEA)</f>
        <v>0</v>
      </c>
      <c r="M48" t="s">
        <v>147</v>
      </c>
    </row>
    <row r="49" spans="1:13">
      <c r="A49" t="s">
        <v>13</v>
      </c>
      <c r="B49" t="s">
        <v>26</v>
      </c>
      <c r="C49" t="s">
        <v>55</v>
      </c>
      <c r="D49" t="s">
        <v>59</v>
      </c>
      <c r="E49">
        <v>31.67551591207612</v>
      </c>
      <c r="F49" t="s">
        <v>62</v>
      </c>
      <c r="G49">
        <v>37.50422027309605</v>
      </c>
      <c r="H49">
        <v>-5.828704361019927</v>
      </c>
      <c r="I49" t="s">
        <v>64</v>
      </c>
      <c r="J49" t="s">
        <v>67</v>
      </c>
      <c r="K49" t="s">
        <v>79</v>
      </c>
      <c r="L49">
        <f>-Opex/TOI</f>
        <v>0</v>
      </c>
      <c r="M49" t="s">
        <v>148</v>
      </c>
    </row>
    <row r="50" spans="1:13">
      <c r="A50" t="s">
        <v>13</v>
      </c>
      <c r="B50" t="s">
        <v>27</v>
      </c>
      <c r="C50" t="s">
        <v>55</v>
      </c>
      <c r="D50" t="s">
        <v>59</v>
      </c>
      <c r="E50">
        <v>1.279905468813274</v>
      </c>
      <c r="F50" t="s">
        <v>62</v>
      </c>
      <c r="G50">
        <v>0.6252811111470661</v>
      </c>
      <c r="H50">
        <v>0.6546243576662084</v>
      </c>
      <c r="I50" t="s">
        <v>64</v>
      </c>
      <c r="J50" t="s">
        <v>67</v>
      </c>
      <c r="K50" t="s">
        <v>112</v>
      </c>
      <c r="L50">
        <f>-Prov*ann/AVERAGE(Loans)</f>
        <v>0</v>
      </c>
      <c r="M50" t="s">
        <v>149</v>
      </c>
    </row>
    <row r="51" spans="1:13">
      <c r="A51" t="s">
        <v>13</v>
      </c>
      <c r="B51" t="s">
        <v>28</v>
      </c>
      <c r="C51" t="s">
        <v>55</v>
      </c>
      <c r="D51" t="s">
        <v>59</v>
      </c>
      <c r="E51">
        <v>17.29117401612341</v>
      </c>
      <c r="F51" t="s">
        <v>62</v>
      </c>
      <c r="G51">
        <v>18.64560733620486</v>
      </c>
      <c r="H51">
        <v>-1.354433320081448</v>
      </c>
      <c r="I51" t="s">
        <v>64</v>
      </c>
      <c r="J51" t="s">
        <v>67</v>
      </c>
      <c r="K51" t="s">
        <v>113</v>
      </c>
      <c r="L51">
        <f>NPAT_parent*ann/AVERAGE(Equity-MI)</f>
        <v>0</v>
      </c>
      <c r="M51" t="s">
        <v>150</v>
      </c>
    </row>
    <row r="52" spans="1:13">
      <c r="A52" t="s">
        <v>13</v>
      </c>
      <c r="B52" t="s">
        <v>29</v>
      </c>
      <c r="C52" t="s">
        <v>55</v>
      </c>
      <c r="D52" t="s">
        <v>59</v>
      </c>
      <c r="E52">
        <v>17.29117401612341</v>
      </c>
      <c r="F52" t="s">
        <v>62</v>
      </c>
      <c r="G52">
        <v>18.64560733620486</v>
      </c>
      <c r="H52">
        <v>-1.354433320081448</v>
      </c>
      <c r="I52" t="s">
        <v>64</v>
      </c>
      <c r="J52" t="s">
        <v>67</v>
      </c>
      <c r="K52" t="s">
        <v>114</v>
      </c>
      <c r="L52">
        <f>NPAT*ann/AVERAGE(Equity)</f>
        <v>0</v>
      </c>
      <c r="M52" t="s">
        <v>151</v>
      </c>
    </row>
    <row r="53" spans="1:13">
      <c r="A53" t="s">
        <v>13</v>
      </c>
      <c r="B53" t="s">
        <v>30</v>
      </c>
      <c r="C53" t="s">
        <v>55</v>
      </c>
      <c r="D53" t="s">
        <v>59</v>
      </c>
      <c r="E53">
        <v>1.462442365952116</v>
      </c>
      <c r="F53" t="s">
        <v>62</v>
      </c>
      <c r="G53">
        <v>1.584266406190971</v>
      </c>
      <c r="H53">
        <v>-0.1218240402388552</v>
      </c>
      <c r="I53" t="s">
        <v>64</v>
      </c>
      <c r="J53" t="s">
        <v>67</v>
      </c>
      <c r="K53" t="s">
        <v>115</v>
      </c>
      <c r="L53">
        <f>NPAT*ann/AVERAGE(Assets)</f>
        <v>0</v>
      </c>
      <c r="M53" t="s">
        <v>152</v>
      </c>
    </row>
    <row r="54" spans="1:13">
      <c r="A54" t="s">
        <v>13</v>
      </c>
      <c r="B54" t="s">
        <v>31</v>
      </c>
      <c r="C54" t="s">
        <v>55</v>
      </c>
      <c r="D54" t="s">
        <v>59</v>
      </c>
      <c r="E54">
        <v>20.03763034864284</v>
      </c>
      <c r="F54" t="s">
        <v>62</v>
      </c>
      <c r="G54">
        <v>20.00299420654922</v>
      </c>
      <c r="H54">
        <v>0.0346361420936212</v>
      </c>
      <c r="I54" t="s">
        <v>64</v>
      </c>
      <c r="J54" t="s">
        <v>67</v>
      </c>
      <c r="K54" t="s">
        <v>84</v>
      </c>
      <c r="L54">
        <f>-Tax/PBT</f>
        <v>0</v>
      </c>
      <c r="M54" t="s">
        <v>153</v>
      </c>
    </row>
    <row r="55" spans="1:13">
      <c r="A55" t="s">
        <v>13</v>
      </c>
      <c r="B55" t="s">
        <v>32</v>
      </c>
      <c r="C55" t="s">
        <v>55</v>
      </c>
      <c r="D55" t="s">
        <v>59</v>
      </c>
      <c r="E55">
        <v>27.29284162308841</v>
      </c>
      <c r="F55" t="s">
        <v>62</v>
      </c>
      <c r="G55">
        <v>8.013687628068118</v>
      </c>
      <c r="H55">
        <v>19.27915399502029</v>
      </c>
      <c r="I55" t="s">
        <v>64</v>
      </c>
      <c r="J55" t="s">
        <v>67</v>
      </c>
      <c r="K55" t="s">
        <v>85</v>
      </c>
      <c r="L55">
        <f>Fee/TOI</f>
        <v>0</v>
      </c>
      <c r="M55" t="s">
        <v>154</v>
      </c>
    </row>
    <row r="56" spans="1:13">
      <c r="A56" t="s">
        <v>13</v>
      </c>
      <c r="B56" t="s">
        <v>33</v>
      </c>
      <c r="C56" t="s">
        <v>56</v>
      </c>
      <c r="D56" t="s">
        <v>57</v>
      </c>
      <c r="E56">
        <v>2.925558113229535</v>
      </c>
      <c r="F56" t="s">
        <v>60</v>
      </c>
      <c r="G56">
        <v>3.556975678732047</v>
      </c>
      <c r="H56">
        <v>-0.6314175655025118</v>
      </c>
      <c r="I56" t="s">
        <v>64</v>
      </c>
      <c r="J56" t="s">
        <v>67</v>
      </c>
      <c r="K56" t="s">
        <v>116</v>
      </c>
      <c r="L56">
        <f>(nob42+nob43+nob44)/nob39</f>
        <v>0</v>
      </c>
      <c r="M56" t="s">
        <v>155</v>
      </c>
    </row>
    <row r="57" spans="1:13">
      <c r="A57" t="s">
        <v>13</v>
      </c>
      <c r="B57" t="s">
        <v>34</v>
      </c>
      <c r="C57" t="s">
        <v>56</v>
      </c>
      <c r="D57" t="s">
        <v>57</v>
      </c>
      <c r="E57">
        <v>2.564810010828781</v>
      </c>
      <c r="F57" t="s">
        <v>60</v>
      </c>
      <c r="G57">
        <v>2.904805270166941</v>
      </c>
      <c r="H57">
        <v>-0.3399952593381603</v>
      </c>
      <c r="I57" t="s">
        <v>64</v>
      </c>
      <c r="J57" t="s">
        <v>67</v>
      </c>
      <c r="K57" t="s">
        <v>117</v>
      </c>
      <c r="L57">
        <f>nob41/nob39</f>
        <v>0</v>
      </c>
      <c r="M57" t="s">
        <v>156</v>
      </c>
    </row>
    <row r="58" spans="1:13">
      <c r="A58" t="s">
        <v>13</v>
      </c>
      <c r="B58" t="s">
        <v>35</v>
      </c>
      <c r="C58" t="s">
        <v>56</v>
      </c>
      <c r="D58" t="s">
        <v>57</v>
      </c>
      <c r="E58">
        <v>43.58314997270789</v>
      </c>
      <c r="F58" t="s">
        <v>60</v>
      </c>
      <c r="G58">
        <v>37.15720400790008</v>
      </c>
      <c r="H58">
        <v>6.425945964807809</v>
      </c>
      <c r="I58" t="s">
        <v>64</v>
      </c>
      <c r="J58" t="s">
        <v>67</v>
      </c>
      <c r="K58" t="s">
        <v>118</v>
      </c>
      <c r="L58">
        <f>-LLR/(nob42+nob43+nob44)</f>
        <v>0</v>
      </c>
      <c r="M58" t="s">
        <v>157</v>
      </c>
    </row>
    <row r="59" spans="1:13">
      <c r="A59" t="s">
        <v>13</v>
      </c>
      <c r="B59" t="s">
        <v>36</v>
      </c>
      <c r="C59" t="s">
        <v>56</v>
      </c>
      <c r="D59" t="s">
        <v>57</v>
      </c>
      <c r="E59">
        <v>11.76079223277248</v>
      </c>
      <c r="F59" t="s">
        <v>60</v>
      </c>
      <c r="G59">
        <v>16.6140161373185</v>
      </c>
      <c r="H59">
        <v>-4.85322390454602</v>
      </c>
      <c r="I59" t="s">
        <v>64</v>
      </c>
      <c r="J59" t="s">
        <v>67</v>
      </c>
      <c r="K59" t="s">
        <v>119</v>
      </c>
      <c r="L59">
        <f>nob66/nob65</f>
        <v>0</v>
      </c>
      <c r="M59" t="s">
        <v>158</v>
      </c>
    </row>
    <row r="60" spans="1:13">
      <c r="A60" t="s">
        <v>13</v>
      </c>
      <c r="B60" t="s">
        <v>37</v>
      </c>
      <c r="C60" t="s">
        <v>56</v>
      </c>
      <c r="D60" t="s">
        <v>57</v>
      </c>
      <c r="E60">
        <v>11.92673535175201</v>
      </c>
      <c r="F60" t="s">
        <v>60</v>
      </c>
      <c r="G60">
        <v>16.79809530149074</v>
      </c>
      <c r="H60">
        <v>-4.871359949738727</v>
      </c>
      <c r="I60" t="s">
        <v>64</v>
      </c>
      <c r="J60" t="s">
        <v>67</v>
      </c>
      <c r="K60" t="s">
        <v>120</v>
      </c>
      <c r="L60">
        <f>(nob66+nob69+nob70)/nob65</f>
        <v>0</v>
      </c>
      <c r="M60" t="s">
        <v>159</v>
      </c>
    </row>
    <row r="61" spans="1:13">
      <c r="A61" t="s">
        <v>13</v>
      </c>
      <c r="B61" t="s">
        <v>38</v>
      </c>
      <c r="C61" t="s">
        <v>56</v>
      </c>
      <c r="D61" t="s">
        <v>57</v>
      </c>
      <c r="E61">
        <v>125.0847411208718</v>
      </c>
      <c r="F61" t="s">
        <v>60</v>
      </c>
      <c r="G61">
        <v>116.9758165654762</v>
      </c>
      <c r="H61">
        <v>8.108924555395518</v>
      </c>
      <c r="I61" t="s">
        <v>64</v>
      </c>
      <c r="J61" t="s">
        <v>67</v>
      </c>
      <c r="K61" t="s">
        <v>121</v>
      </c>
      <c r="L61">
        <f>Loans/Deposits</f>
        <v>0</v>
      </c>
      <c r="M61" t="s">
        <v>160</v>
      </c>
    </row>
    <row r="62" spans="1:13">
      <c r="A62" t="s">
        <v>13</v>
      </c>
      <c r="B62" t="s">
        <v>39</v>
      </c>
      <c r="C62" t="s">
        <v>56</v>
      </c>
      <c r="D62" t="s">
        <v>57</v>
      </c>
      <c r="E62">
        <v>8.233734031409345</v>
      </c>
      <c r="F62" t="s">
        <v>60</v>
      </c>
      <c r="G62">
        <v>8.21755499111652</v>
      </c>
      <c r="H62">
        <v>0.0161790402928243</v>
      </c>
      <c r="I62" t="s">
        <v>64</v>
      </c>
      <c r="J62" t="s">
        <v>67</v>
      </c>
      <c r="K62" t="s">
        <v>122</v>
      </c>
      <c r="L62">
        <f>Equity/Assets</f>
        <v>0</v>
      </c>
      <c r="M62" t="s">
        <v>161</v>
      </c>
    </row>
    <row r="63" spans="1:13">
      <c r="A63" t="s">
        <v>13</v>
      </c>
      <c r="B63" t="s">
        <v>40</v>
      </c>
      <c r="C63" t="s">
        <v>56</v>
      </c>
      <c r="D63" t="s">
        <v>57</v>
      </c>
      <c r="E63">
        <v>3.956161804272074</v>
      </c>
      <c r="F63" t="s">
        <v>60</v>
      </c>
      <c r="G63">
        <v>9.893662354498623</v>
      </c>
      <c r="H63">
        <v>-5.93750055022655</v>
      </c>
      <c r="I63" t="s">
        <v>64</v>
      </c>
      <c r="J63" t="s">
        <v>67</v>
      </c>
      <c r="K63" t="s">
        <v>123</v>
      </c>
      <c r="L63">
        <f>Loans/Loans_PriorQ4-1</f>
        <v>0</v>
      </c>
      <c r="M63" t="s">
        <v>162</v>
      </c>
    </row>
    <row r="64" spans="1:13">
      <c r="A64" t="s">
        <v>13</v>
      </c>
      <c r="B64" t="s">
        <v>41</v>
      </c>
      <c r="C64" t="s">
        <v>56</v>
      </c>
      <c r="D64" t="s">
        <v>57</v>
      </c>
      <c r="E64">
        <v>7.764976788243283</v>
      </c>
      <c r="F64" t="s">
        <v>60</v>
      </c>
      <c r="G64">
        <v>10.16423566134936</v>
      </c>
      <c r="H64">
        <v>-2.399258873106081</v>
      </c>
      <c r="I64" t="s">
        <v>64</v>
      </c>
      <c r="J64" t="s">
        <v>67</v>
      </c>
      <c r="K64" t="s">
        <v>124</v>
      </c>
      <c r="L64">
        <f>Deposits/Deposits_PriorQ4-1</f>
        <v>0</v>
      </c>
      <c r="M64" t="s">
        <v>163</v>
      </c>
    </row>
    <row r="65" spans="1:13">
      <c r="A65" t="s">
        <v>13</v>
      </c>
      <c r="B65" t="s">
        <v>42</v>
      </c>
      <c r="C65" t="s">
        <v>56</v>
      </c>
      <c r="D65" t="s">
        <v>57</v>
      </c>
      <c r="E65">
        <v>11.51957526767358</v>
      </c>
      <c r="F65" t="s">
        <v>60</v>
      </c>
      <c r="G65">
        <v>27.66526814190113</v>
      </c>
      <c r="H65">
        <v>-16.14569287422756</v>
      </c>
      <c r="I65" t="s">
        <v>64</v>
      </c>
      <c r="J65" t="s">
        <v>67</v>
      </c>
      <c r="K65" t="s">
        <v>125</v>
      </c>
      <c r="L65">
        <f>Loans/Loans_4Qago-1</f>
        <v>0</v>
      </c>
      <c r="M65" t="s">
        <v>162</v>
      </c>
    </row>
    <row r="66" spans="1:13">
      <c r="A66" t="s">
        <v>13</v>
      </c>
      <c r="B66" t="s">
        <v>43</v>
      </c>
      <c r="C66" t="s">
        <v>56</v>
      </c>
      <c r="D66" t="s">
        <v>57</v>
      </c>
      <c r="E66">
        <v>4.290045796756981</v>
      </c>
      <c r="F66" t="s">
        <v>60</v>
      </c>
      <c r="G66">
        <v>22.92259675589255</v>
      </c>
      <c r="H66">
        <v>-18.63255095913556</v>
      </c>
      <c r="I66" t="s">
        <v>64</v>
      </c>
      <c r="J66" t="s">
        <v>67</v>
      </c>
      <c r="K66" t="s">
        <v>126</v>
      </c>
      <c r="L66">
        <f>Deposits/Deposits_4Qago-1</f>
        <v>0</v>
      </c>
      <c r="M66" t="s">
        <v>163</v>
      </c>
    </row>
    <row r="67" spans="1:13">
      <c r="A67" t="s">
        <v>13</v>
      </c>
      <c r="B67" t="s">
        <v>44</v>
      </c>
      <c r="C67" t="s">
        <v>56</v>
      </c>
      <c r="D67" t="s">
        <v>57</v>
      </c>
      <c r="E67">
        <v>14053.39421141392</v>
      </c>
      <c r="F67" t="s">
        <v>60</v>
      </c>
      <c r="G67">
        <v>14644.46775328</v>
      </c>
      <c r="H67">
        <v>-591.0735418660788</v>
      </c>
      <c r="I67" t="s">
        <v>65</v>
      </c>
      <c r="J67" t="s">
        <v>65</v>
      </c>
      <c r="K67" t="s">
        <v>127</v>
      </c>
      <c r="L67">
        <f>Equity/(Charter/10000)</f>
        <v>0</v>
      </c>
      <c r="M67" t="s">
        <v>164</v>
      </c>
    </row>
    <row r="68" spans="1:13">
      <c r="A68" t="s">
        <v>13</v>
      </c>
      <c r="B68" t="s">
        <v>45</v>
      </c>
      <c r="C68" t="s">
        <v>56</v>
      </c>
      <c r="D68" t="s">
        <v>57</v>
      </c>
      <c r="E68">
        <v>14053.39421141392</v>
      </c>
      <c r="F68" t="s">
        <v>60</v>
      </c>
      <c r="G68">
        <v>14644.46775328</v>
      </c>
      <c r="H68">
        <v>-591.0735418660788</v>
      </c>
      <c r="I68" t="s">
        <v>65</v>
      </c>
      <c r="J68" t="s">
        <v>65</v>
      </c>
      <c r="K68" t="s">
        <v>128</v>
      </c>
      <c r="L68">
        <f>(Equity-MI)/(Charter/10000)</f>
        <v>0</v>
      </c>
      <c r="M68" t="s">
        <v>165</v>
      </c>
    </row>
    <row r="69" spans="1:13">
      <c r="A69" t="s">
        <v>13</v>
      </c>
      <c r="B69" t="s">
        <v>46</v>
      </c>
      <c r="C69" t="s">
        <v>56</v>
      </c>
      <c r="D69" t="s">
        <v>57</v>
      </c>
      <c r="E69">
        <v>397083.447</v>
      </c>
      <c r="F69" t="s">
        <v>60</v>
      </c>
      <c r="G69">
        <v>356066.14</v>
      </c>
      <c r="H69">
        <v>11.51957526767358</v>
      </c>
      <c r="I69" t="s">
        <v>63</v>
      </c>
      <c r="J69" t="s">
        <v>66</v>
      </c>
      <c r="K69" t="s">
        <v>129</v>
      </c>
      <c r="L69">
        <f>Loans</f>
        <v>0</v>
      </c>
      <c r="M69" t="s">
        <v>162</v>
      </c>
    </row>
    <row r="70" spans="1:13">
      <c r="A70" t="s">
        <v>13</v>
      </c>
      <c r="B70" t="s">
        <v>47</v>
      </c>
      <c r="C70" t="s">
        <v>56</v>
      </c>
      <c r="D70" t="s">
        <v>57</v>
      </c>
      <c r="E70">
        <v>317451.548</v>
      </c>
      <c r="F70" t="s">
        <v>60</v>
      </c>
      <c r="G70">
        <v>304392.951</v>
      </c>
      <c r="H70">
        <v>4.290045796756981</v>
      </c>
      <c r="I70" t="s">
        <v>63</v>
      </c>
      <c r="J70" t="s">
        <v>66</v>
      </c>
      <c r="K70" t="s">
        <v>130</v>
      </c>
      <c r="L70">
        <f>Deposits</f>
        <v>0</v>
      </c>
      <c r="M70" t="s">
        <v>163</v>
      </c>
    </row>
    <row r="71" spans="1:13">
      <c r="A71" t="s">
        <v>13</v>
      </c>
      <c r="B71" t="s">
        <v>48</v>
      </c>
      <c r="C71" t="s">
        <v>56</v>
      </c>
      <c r="D71" t="s">
        <v>57</v>
      </c>
      <c r="E71">
        <v>580998.048</v>
      </c>
      <c r="F71" t="s">
        <v>60</v>
      </c>
      <c r="G71">
        <v>530909.024</v>
      </c>
      <c r="H71">
        <v>9.434577627371432</v>
      </c>
      <c r="I71" t="s">
        <v>63</v>
      </c>
      <c r="J71" t="s">
        <v>66</v>
      </c>
      <c r="K71" t="s">
        <v>131</v>
      </c>
      <c r="L71">
        <f>Assets</f>
        <v>0</v>
      </c>
      <c r="M71" t="s">
        <v>166</v>
      </c>
    </row>
    <row r="72" spans="1:13">
      <c r="A72" t="s">
        <v>13</v>
      </c>
      <c r="B72" t="s">
        <v>49</v>
      </c>
      <c r="C72" t="s">
        <v>56</v>
      </c>
      <c r="D72" t="s">
        <v>57</v>
      </c>
      <c r="E72">
        <v>47837.834</v>
      </c>
      <c r="F72" t="s">
        <v>60</v>
      </c>
      <c r="G72">
        <v>43627.741</v>
      </c>
      <c r="H72">
        <v>9.650036659014738</v>
      </c>
      <c r="I72" t="s">
        <v>63</v>
      </c>
      <c r="J72" t="s">
        <v>66</v>
      </c>
      <c r="K72" t="s">
        <v>132</v>
      </c>
      <c r="L72">
        <f>Equity</f>
        <v>0</v>
      </c>
      <c r="M72" t="s">
        <v>167</v>
      </c>
    </row>
    <row r="73" spans="1:13">
      <c r="A73" t="s">
        <v>13</v>
      </c>
      <c r="B73" t="s">
        <v>50</v>
      </c>
      <c r="C73" t="s">
        <v>56</v>
      </c>
      <c r="D73" t="s">
        <v>57</v>
      </c>
      <c r="E73">
        <v>47837.834</v>
      </c>
      <c r="F73" t="s">
        <v>60</v>
      </c>
      <c r="G73">
        <v>43627.741</v>
      </c>
      <c r="H73">
        <v>9.650036659014738</v>
      </c>
      <c r="I73" t="s">
        <v>63</v>
      </c>
      <c r="J73" t="s">
        <v>66</v>
      </c>
      <c r="K73" t="s">
        <v>133</v>
      </c>
      <c r="L73">
        <f>Equity_parent</f>
        <v>0</v>
      </c>
      <c r="M73" t="s">
        <v>168</v>
      </c>
    </row>
    <row r="74" spans="1:13">
      <c r="A74" t="s">
        <v>13</v>
      </c>
      <c r="B74" t="s">
        <v>51</v>
      </c>
      <c r="C74" t="s">
        <v>56</v>
      </c>
      <c r="D74" t="s">
        <v>57</v>
      </c>
      <c r="E74">
        <v>37970.7</v>
      </c>
      <c r="F74" t="s">
        <v>60</v>
      </c>
      <c r="G74">
        <v>29200</v>
      </c>
      <c r="H74">
        <v>30.03664383561644</v>
      </c>
      <c r="I74" t="s">
        <v>63</v>
      </c>
      <c r="J74" t="s">
        <v>66</v>
      </c>
      <c r="K74" t="s">
        <v>134</v>
      </c>
      <c r="L74">
        <f>Bonds</f>
        <v>0</v>
      </c>
      <c r="M74" t="s">
        <v>169</v>
      </c>
    </row>
    <row r="75" spans="1:13">
      <c r="A75" t="s">
        <v>13</v>
      </c>
      <c r="B75" t="s">
        <v>52</v>
      </c>
      <c r="C75" t="s">
        <v>56</v>
      </c>
      <c r="D75" t="s">
        <v>57</v>
      </c>
      <c r="E75">
        <v>12806.66329335733</v>
      </c>
      <c r="F75" t="s">
        <v>60</v>
      </c>
      <c r="I75" t="s">
        <v>65</v>
      </c>
      <c r="J75" t="s">
        <v>65</v>
      </c>
      <c r="K75" t="s">
        <v>135</v>
      </c>
      <c r="L75">
        <f>(Equity-MI)/Shares</f>
        <v>0</v>
      </c>
      <c r="M75" t="s">
        <v>170</v>
      </c>
    </row>
    <row r="76" spans="1:13">
      <c r="A76" t="s">
        <v>14</v>
      </c>
      <c r="B76" t="s">
        <v>15</v>
      </c>
      <c r="C76" t="s">
        <v>53</v>
      </c>
      <c r="D76" t="s">
        <v>57</v>
      </c>
      <c r="E76">
        <v>16893.654</v>
      </c>
      <c r="F76" t="s">
        <v>60</v>
      </c>
      <c r="G76">
        <v>12372.117</v>
      </c>
      <c r="H76">
        <v>36.54618688135587</v>
      </c>
      <c r="I76" t="s">
        <v>63</v>
      </c>
      <c r="J76" t="s">
        <v>66</v>
      </c>
      <c r="K76" t="s">
        <v>68</v>
      </c>
      <c r="L76">
        <f>NII</f>
        <v>0</v>
      </c>
      <c r="M76" t="s">
        <v>137</v>
      </c>
    </row>
    <row r="77" spans="1:13">
      <c r="A77" t="s">
        <v>14</v>
      </c>
      <c r="B77" t="s">
        <v>16</v>
      </c>
      <c r="C77" t="s">
        <v>53</v>
      </c>
      <c r="D77" t="s">
        <v>57</v>
      </c>
      <c r="E77">
        <v>1805.675</v>
      </c>
      <c r="F77" t="s">
        <v>60</v>
      </c>
      <c r="G77">
        <v>1915.543</v>
      </c>
      <c r="H77">
        <v>-5.735606039645158</v>
      </c>
      <c r="I77" t="s">
        <v>63</v>
      </c>
      <c r="J77" t="s">
        <v>66</v>
      </c>
      <c r="K77" t="s">
        <v>69</v>
      </c>
      <c r="L77">
        <f>Fee</f>
        <v>0</v>
      </c>
      <c r="M77" t="s">
        <v>138</v>
      </c>
    </row>
    <row r="78" spans="1:13">
      <c r="A78" t="s">
        <v>14</v>
      </c>
      <c r="B78" t="s">
        <v>17</v>
      </c>
      <c r="C78" t="s">
        <v>53</v>
      </c>
      <c r="D78" t="s">
        <v>57</v>
      </c>
      <c r="E78">
        <v>3540.66</v>
      </c>
      <c r="F78" t="s">
        <v>60</v>
      </c>
      <c r="G78">
        <v>4873.561</v>
      </c>
      <c r="H78">
        <v>-27.34963202471458</v>
      </c>
      <c r="I78" t="s">
        <v>63</v>
      </c>
      <c r="J78" t="s">
        <v>66</v>
      </c>
      <c r="K78" t="s">
        <v>70</v>
      </c>
      <c r="L78">
        <f>NonII</f>
        <v>0</v>
      </c>
      <c r="M78" t="s">
        <v>139</v>
      </c>
    </row>
    <row r="79" spans="1:13">
      <c r="A79" t="s">
        <v>14</v>
      </c>
      <c r="B79" t="s">
        <v>18</v>
      </c>
      <c r="C79" t="s">
        <v>53</v>
      </c>
      <c r="D79" t="s">
        <v>57</v>
      </c>
      <c r="E79">
        <v>20434.314</v>
      </c>
      <c r="F79" t="s">
        <v>60</v>
      </c>
      <c r="G79">
        <v>17245.678</v>
      </c>
      <c r="H79">
        <v>18.48947892915547</v>
      </c>
      <c r="I79" t="s">
        <v>63</v>
      </c>
      <c r="J79" t="s">
        <v>66</v>
      </c>
      <c r="K79" t="s">
        <v>71</v>
      </c>
      <c r="L79">
        <f>TOI</f>
        <v>0</v>
      </c>
      <c r="M79" t="s">
        <v>140</v>
      </c>
    </row>
    <row r="80" spans="1:13">
      <c r="A80" t="s">
        <v>14</v>
      </c>
      <c r="B80" t="s">
        <v>19</v>
      </c>
      <c r="C80" t="s">
        <v>53</v>
      </c>
      <c r="D80" t="s">
        <v>57</v>
      </c>
      <c r="E80">
        <v>-5627.359</v>
      </c>
      <c r="F80" t="s">
        <v>60</v>
      </c>
      <c r="G80">
        <v>-4956.47</v>
      </c>
      <c r="H80">
        <v>13.5356211174485</v>
      </c>
      <c r="I80" t="s">
        <v>63</v>
      </c>
      <c r="J80" t="s">
        <v>66</v>
      </c>
      <c r="K80" t="s">
        <v>72</v>
      </c>
      <c r="L80">
        <f>Opex</f>
        <v>0</v>
      </c>
      <c r="M80" t="s">
        <v>141</v>
      </c>
    </row>
    <row r="81" spans="1:13">
      <c r="A81" t="s">
        <v>14</v>
      </c>
      <c r="B81" t="s">
        <v>20</v>
      </c>
      <c r="C81" t="s">
        <v>53</v>
      </c>
      <c r="D81" t="s">
        <v>57</v>
      </c>
      <c r="E81">
        <v>14806.955</v>
      </c>
      <c r="F81" t="s">
        <v>60</v>
      </c>
      <c r="G81">
        <v>12289.208</v>
      </c>
      <c r="H81">
        <v>20.48746347201544</v>
      </c>
      <c r="I81" t="s">
        <v>63</v>
      </c>
      <c r="J81" t="s">
        <v>66</v>
      </c>
      <c r="K81" t="s">
        <v>73</v>
      </c>
      <c r="L81">
        <f>PPOP</f>
        <v>0</v>
      </c>
      <c r="M81" t="s">
        <v>142</v>
      </c>
    </row>
    <row r="82" spans="1:13">
      <c r="A82" t="s">
        <v>14</v>
      </c>
      <c r="B82" t="s">
        <v>21</v>
      </c>
      <c r="C82" t="s">
        <v>53</v>
      </c>
      <c r="D82" t="s">
        <v>57</v>
      </c>
      <c r="E82">
        <v>-4247.083</v>
      </c>
      <c r="F82" t="s">
        <v>60</v>
      </c>
      <c r="G82">
        <v>-4786.217</v>
      </c>
      <c r="H82">
        <v>-11.26430331094474</v>
      </c>
      <c r="I82" t="s">
        <v>63</v>
      </c>
      <c r="J82" t="s">
        <v>66</v>
      </c>
      <c r="K82" t="s">
        <v>74</v>
      </c>
      <c r="L82">
        <f>Prov</f>
        <v>0</v>
      </c>
      <c r="M82" t="s">
        <v>143</v>
      </c>
    </row>
    <row r="83" spans="1:13">
      <c r="A83" t="s">
        <v>14</v>
      </c>
      <c r="B83" t="s">
        <v>22</v>
      </c>
      <c r="C83" t="s">
        <v>53</v>
      </c>
      <c r="D83" t="s">
        <v>57</v>
      </c>
      <c r="E83">
        <v>10559.872</v>
      </c>
      <c r="F83" t="s">
        <v>60</v>
      </c>
      <c r="G83">
        <v>7502.991</v>
      </c>
      <c r="H83">
        <v>40.74216535778863</v>
      </c>
      <c r="I83" t="s">
        <v>63</v>
      </c>
      <c r="J83" t="s">
        <v>66</v>
      </c>
      <c r="K83" t="s">
        <v>75</v>
      </c>
      <c r="L83">
        <f>PBT</f>
        <v>0</v>
      </c>
      <c r="M83" t="s">
        <v>144</v>
      </c>
    </row>
    <row r="84" spans="1:13">
      <c r="A84" t="s">
        <v>14</v>
      </c>
      <c r="B84" t="s">
        <v>23</v>
      </c>
      <c r="C84" t="s">
        <v>53</v>
      </c>
      <c r="D84" t="s">
        <v>57</v>
      </c>
      <c r="E84">
        <v>8445.473</v>
      </c>
      <c r="F84" t="s">
        <v>60</v>
      </c>
      <c r="G84">
        <v>6004.706</v>
      </c>
      <c r="H84">
        <v>40.647568756905</v>
      </c>
      <c r="I84" t="s">
        <v>63</v>
      </c>
      <c r="J84" t="s">
        <v>66</v>
      </c>
      <c r="K84" t="s">
        <v>76</v>
      </c>
      <c r="L84">
        <f>NPAT</f>
        <v>0</v>
      </c>
      <c r="M84" t="s">
        <v>145</v>
      </c>
    </row>
    <row r="85" spans="1:13">
      <c r="A85" t="s">
        <v>14</v>
      </c>
      <c r="B85" t="s">
        <v>24</v>
      </c>
      <c r="C85" t="s">
        <v>53</v>
      </c>
      <c r="D85" t="s">
        <v>57</v>
      </c>
      <c r="E85">
        <v>8229.062</v>
      </c>
      <c r="F85" t="s">
        <v>60</v>
      </c>
      <c r="G85">
        <v>5877.605</v>
      </c>
      <c r="H85">
        <v>40.00706069904325</v>
      </c>
      <c r="I85" t="s">
        <v>63</v>
      </c>
      <c r="J85" t="s">
        <v>66</v>
      </c>
      <c r="K85" t="s">
        <v>77</v>
      </c>
      <c r="L85">
        <f>NPAT_parent</f>
        <v>0</v>
      </c>
      <c r="M85" t="s">
        <v>146</v>
      </c>
    </row>
    <row r="86" spans="1:13">
      <c r="A86" t="s">
        <v>14</v>
      </c>
      <c r="B86" t="s">
        <v>25</v>
      </c>
      <c r="C86" t="s">
        <v>53</v>
      </c>
      <c r="D86" t="s">
        <v>57</v>
      </c>
      <c r="E86">
        <v>4.145703477610869</v>
      </c>
      <c r="F86" t="s">
        <v>60</v>
      </c>
      <c r="G86">
        <v>4.136764063739784</v>
      </c>
      <c r="H86">
        <v>0.008939413871084699</v>
      </c>
      <c r="I86" t="s">
        <v>64</v>
      </c>
      <c r="J86" t="s">
        <v>67</v>
      </c>
      <c r="K86" t="s">
        <v>78</v>
      </c>
      <c r="L86">
        <f>NII*ann/AVERAGE(IEA)</f>
        <v>0</v>
      </c>
      <c r="M86" t="s">
        <v>147</v>
      </c>
    </row>
    <row r="87" spans="1:13">
      <c r="A87" t="s">
        <v>14</v>
      </c>
      <c r="B87" t="s">
        <v>26</v>
      </c>
      <c r="C87" t="s">
        <v>53</v>
      </c>
      <c r="D87" t="s">
        <v>57</v>
      </c>
      <c r="E87">
        <v>27.53877130399387</v>
      </c>
      <c r="F87" t="s">
        <v>60</v>
      </c>
      <c r="G87">
        <v>28.74036033839899</v>
      </c>
      <c r="H87">
        <v>-1.201589034405124</v>
      </c>
      <c r="I87" t="s">
        <v>64</v>
      </c>
      <c r="J87" t="s">
        <v>67</v>
      </c>
      <c r="K87" t="s">
        <v>79</v>
      </c>
      <c r="L87">
        <f>-Opex/TOI</f>
        <v>0</v>
      </c>
      <c r="M87" t="s">
        <v>148</v>
      </c>
    </row>
    <row r="88" spans="1:13">
      <c r="A88" t="s">
        <v>14</v>
      </c>
      <c r="B88" t="s">
        <v>27</v>
      </c>
      <c r="C88" t="s">
        <v>53</v>
      </c>
      <c r="D88" t="s">
        <v>57</v>
      </c>
      <c r="E88">
        <v>1.446974942378488</v>
      </c>
      <c r="F88" t="s">
        <v>60</v>
      </c>
      <c r="G88">
        <v>2.282649346203824</v>
      </c>
      <c r="H88">
        <v>-0.8356744038253356</v>
      </c>
      <c r="I88" t="s">
        <v>64</v>
      </c>
      <c r="J88" t="s">
        <v>67</v>
      </c>
      <c r="K88" t="s">
        <v>80</v>
      </c>
      <c r="L88">
        <f>-Prov*ann/AVERAGE(Loans)</f>
        <v>0</v>
      </c>
      <c r="M88" t="s">
        <v>149</v>
      </c>
    </row>
    <row r="89" spans="1:13">
      <c r="A89" t="s">
        <v>14</v>
      </c>
      <c r="B89" t="s">
        <v>28</v>
      </c>
      <c r="C89" t="s">
        <v>53</v>
      </c>
      <c r="D89" t="s">
        <v>57</v>
      </c>
      <c r="E89">
        <v>22.47447292147352</v>
      </c>
      <c r="F89" t="s">
        <v>60</v>
      </c>
      <c r="G89">
        <v>19.49239057114776</v>
      </c>
      <c r="H89">
        <v>2.982082350325751</v>
      </c>
      <c r="I89" t="s">
        <v>64</v>
      </c>
      <c r="J89" t="s">
        <v>67</v>
      </c>
      <c r="K89" t="s">
        <v>81</v>
      </c>
      <c r="L89">
        <f>NPAT_parent*ann/AVERAGE(Equity-MI)</f>
        <v>0</v>
      </c>
      <c r="M89" t="s">
        <v>150</v>
      </c>
    </row>
    <row r="90" spans="1:13">
      <c r="A90" t="s">
        <v>14</v>
      </c>
      <c r="B90" t="s">
        <v>29</v>
      </c>
      <c r="C90" t="s">
        <v>53</v>
      </c>
      <c r="D90" t="s">
        <v>57</v>
      </c>
      <c r="E90">
        <v>22.0430758196698</v>
      </c>
      <c r="F90" t="s">
        <v>60</v>
      </c>
      <c r="G90">
        <v>19.10196046529278</v>
      </c>
      <c r="H90">
        <v>2.941115354377015</v>
      </c>
      <c r="I90" t="s">
        <v>64</v>
      </c>
      <c r="J90" t="s">
        <v>67</v>
      </c>
      <c r="K90" t="s">
        <v>82</v>
      </c>
      <c r="L90">
        <f>NPAT*ann/AVERAGE(Equity)</f>
        <v>0</v>
      </c>
      <c r="M90" t="s">
        <v>151</v>
      </c>
    </row>
    <row r="91" spans="1:13">
      <c r="A91" t="s">
        <v>14</v>
      </c>
      <c r="B91" t="s">
        <v>30</v>
      </c>
      <c r="C91" t="s">
        <v>53</v>
      </c>
      <c r="D91" t="s">
        <v>57</v>
      </c>
      <c r="E91">
        <v>2.020305851517524</v>
      </c>
      <c r="F91" t="s">
        <v>60</v>
      </c>
      <c r="G91">
        <v>1.96347598653868</v>
      </c>
      <c r="H91">
        <v>0.0568298649788441</v>
      </c>
      <c r="I91" t="s">
        <v>64</v>
      </c>
      <c r="J91" t="s">
        <v>67</v>
      </c>
      <c r="K91" t="s">
        <v>83</v>
      </c>
      <c r="L91">
        <f>NPAT*ann/AVERAGE(Assets)</f>
        <v>0</v>
      </c>
      <c r="M91" t="s">
        <v>152</v>
      </c>
    </row>
    <row r="92" spans="1:13">
      <c r="A92" t="s">
        <v>14</v>
      </c>
      <c r="B92" t="s">
        <v>31</v>
      </c>
      <c r="C92" t="s">
        <v>53</v>
      </c>
      <c r="D92" t="s">
        <v>57</v>
      </c>
      <c r="E92">
        <v>20.02296050558189</v>
      </c>
      <c r="F92" t="s">
        <v>60</v>
      </c>
      <c r="G92">
        <v>19.9691696284855</v>
      </c>
      <c r="H92">
        <v>0.0537908770963895</v>
      </c>
      <c r="I92" t="s">
        <v>64</v>
      </c>
      <c r="J92" t="s">
        <v>67</v>
      </c>
      <c r="K92" t="s">
        <v>84</v>
      </c>
      <c r="L92">
        <f>-Tax/PBT</f>
        <v>0</v>
      </c>
      <c r="M92" t="s">
        <v>153</v>
      </c>
    </row>
    <row r="93" spans="1:13">
      <c r="A93" t="s">
        <v>14</v>
      </c>
      <c r="B93" t="s">
        <v>32</v>
      </c>
      <c r="C93" t="s">
        <v>53</v>
      </c>
      <c r="D93" t="s">
        <v>57</v>
      </c>
      <c r="E93">
        <v>8.836484552405333</v>
      </c>
      <c r="F93" t="s">
        <v>60</v>
      </c>
      <c r="G93">
        <v>11.10738006357303</v>
      </c>
      <c r="H93">
        <v>-2.270895511167696</v>
      </c>
      <c r="I93" t="s">
        <v>64</v>
      </c>
      <c r="J93" t="s">
        <v>67</v>
      </c>
      <c r="K93" t="s">
        <v>85</v>
      </c>
      <c r="L93">
        <f>Fee/TOI</f>
        <v>0</v>
      </c>
      <c r="M93" t="s">
        <v>154</v>
      </c>
    </row>
    <row r="94" spans="1:13">
      <c r="A94" t="s">
        <v>14</v>
      </c>
      <c r="B94" t="s">
        <v>15</v>
      </c>
      <c r="C94" t="s">
        <v>54</v>
      </c>
      <c r="D94" t="s">
        <v>58</v>
      </c>
      <c r="E94">
        <v>59352.587</v>
      </c>
      <c r="F94" t="s">
        <v>61</v>
      </c>
      <c r="G94">
        <v>45623.114</v>
      </c>
      <c r="H94">
        <v>30.09323958027064</v>
      </c>
      <c r="I94" t="s">
        <v>63</v>
      </c>
      <c r="J94" t="s">
        <v>66</v>
      </c>
      <c r="K94" t="s">
        <v>86</v>
      </c>
      <c r="L94">
        <f>SUM(NII range)</f>
        <v>0</v>
      </c>
      <c r="M94" t="s">
        <v>137</v>
      </c>
    </row>
    <row r="95" spans="1:13">
      <c r="A95" t="s">
        <v>14</v>
      </c>
      <c r="B95" t="s">
        <v>16</v>
      </c>
      <c r="C95" t="s">
        <v>54</v>
      </c>
      <c r="D95" t="s">
        <v>58</v>
      </c>
      <c r="E95">
        <v>6942.141</v>
      </c>
      <c r="F95" t="s">
        <v>61</v>
      </c>
      <c r="G95">
        <v>5219.74</v>
      </c>
      <c r="H95">
        <v>32.99783130960545</v>
      </c>
      <c r="I95" t="s">
        <v>63</v>
      </c>
      <c r="J95" t="s">
        <v>66</v>
      </c>
      <c r="K95" t="s">
        <v>87</v>
      </c>
      <c r="L95">
        <f>SUM(Fee range)</f>
        <v>0</v>
      </c>
      <c r="M95" t="s">
        <v>138</v>
      </c>
    </row>
    <row r="96" spans="1:13">
      <c r="A96" t="s">
        <v>14</v>
      </c>
      <c r="B96" t="s">
        <v>17</v>
      </c>
      <c r="C96" t="s">
        <v>54</v>
      </c>
      <c r="D96" t="s">
        <v>58</v>
      </c>
      <c r="E96">
        <v>13636.573</v>
      </c>
      <c r="F96" t="s">
        <v>61</v>
      </c>
      <c r="G96">
        <v>16212.537</v>
      </c>
      <c r="H96">
        <v>-15.88871624471851</v>
      </c>
      <c r="I96" t="s">
        <v>63</v>
      </c>
      <c r="J96" t="s">
        <v>66</v>
      </c>
      <c r="K96" t="s">
        <v>88</v>
      </c>
      <c r="L96">
        <f>SUM(NonII range)</f>
        <v>0</v>
      </c>
      <c r="M96" t="s">
        <v>139</v>
      </c>
    </row>
    <row r="97" spans="1:13">
      <c r="A97" t="s">
        <v>14</v>
      </c>
      <c r="B97" t="s">
        <v>18</v>
      </c>
      <c r="C97" t="s">
        <v>54</v>
      </c>
      <c r="D97" t="s">
        <v>58</v>
      </c>
      <c r="E97">
        <v>72989.16</v>
      </c>
      <c r="F97" t="s">
        <v>61</v>
      </c>
      <c r="G97">
        <v>61835.651</v>
      </c>
      <c r="H97">
        <v>18.03734386171498</v>
      </c>
      <c r="I97" t="s">
        <v>63</v>
      </c>
      <c r="J97" t="s">
        <v>66</v>
      </c>
      <c r="K97" t="s">
        <v>89</v>
      </c>
      <c r="L97">
        <f>SUM(TOI range)</f>
        <v>0</v>
      </c>
      <c r="M97" t="s">
        <v>140</v>
      </c>
    </row>
    <row r="98" spans="1:13">
      <c r="A98" t="s">
        <v>14</v>
      </c>
      <c r="B98" t="s">
        <v>19</v>
      </c>
      <c r="C98" t="s">
        <v>54</v>
      </c>
      <c r="D98" t="s">
        <v>58</v>
      </c>
      <c r="E98">
        <v>-20749.086</v>
      </c>
      <c r="F98" t="s">
        <v>61</v>
      </c>
      <c r="G98">
        <v>-17908.882</v>
      </c>
      <c r="H98">
        <v>15.85919210367235</v>
      </c>
      <c r="I98" t="s">
        <v>63</v>
      </c>
      <c r="J98" t="s">
        <v>66</v>
      </c>
      <c r="K98" t="s">
        <v>90</v>
      </c>
      <c r="L98">
        <f>SUM(Opex range)</f>
        <v>0</v>
      </c>
      <c r="M98" t="s">
        <v>141</v>
      </c>
    </row>
    <row r="99" spans="1:13">
      <c r="A99" t="s">
        <v>14</v>
      </c>
      <c r="B99" t="s">
        <v>20</v>
      </c>
      <c r="C99" t="s">
        <v>54</v>
      </c>
      <c r="D99" t="s">
        <v>58</v>
      </c>
      <c r="E99">
        <v>52240.074</v>
      </c>
      <c r="F99" t="s">
        <v>61</v>
      </c>
      <c r="G99">
        <v>43926.769</v>
      </c>
      <c r="H99">
        <v>18.925373272958</v>
      </c>
      <c r="I99" t="s">
        <v>63</v>
      </c>
      <c r="J99" t="s">
        <v>66</v>
      </c>
      <c r="K99" t="s">
        <v>91</v>
      </c>
      <c r="L99">
        <f>SUM(PPOP range)</f>
        <v>0</v>
      </c>
      <c r="M99" t="s">
        <v>142</v>
      </c>
    </row>
    <row r="100" spans="1:13">
      <c r="A100" t="s">
        <v>14</v>
      </c>
      <c r="B100" t="s">
        <v>21</v>
      </c>
      <c r="C100" t="s">
        <v>54</v>
      </c>
      <c r="D100" t="s">
        <v>58</v>
      </c>
      <c r="E100">
        <v>-13672.774</v>
      </c>
      <c r="F100" t="s">
        <v>61</v>
      </c>
      <c r="G100">
        <v>-12636.437</v>
      </c>
      <c r="H100">
        <v>8.201180443506351</v>
      </c>
      <c r="I100" t="s">
        <v>63</v>
      </c>
      <c r="J100" t="s">
        <v>66</v>
      </c>
      <c r="K100" t="s">
        <v>92</v>
      </c>
      <c r="L100">
        <f>SUM(Prov range)</f>
        <v>0</v>
      </c>
      <c r="M100" t="s">
        <v>143</v>
      </c>
    </row>
    <row r="101" spans="1:13">
      <c r="A101" t="s">
        <v>14</v>
      </c>
      <c r="B101" t="s">
        <v>22</v>
      </c>
      <c r="C101" t="s">
        <v>54</v>
      </c>
      <c r="D101" t="s">
        <v>58</v>
      </c>
      <c r="E101">
        <v>38567.3</v>
      </c>
      <c r="F101" t="s">
        <v>61</v>
      </c>
      <c r="G101">
        <v>31290.332</v>
      </c>
      <c r="H101">
        <v>23.2562824836758</v>
      </c>
      <c r="I101" t="s">
        <v>63</v>
      </c>
      <c r="J101" t="s">
        <v>66</v>
      </c>
      <c r="K101" t="s">
        <v>93</v>
      </c>
      <c r="L101">
        <f>SUM(PBT range)</f>
        <v>0</v>
      </c>
      <c r="M101" t="s">
        <v>144</v>
      </c>
    </row>
    <row r="102" spans="1:13">
      <c r="A102" t="s">
        <v>14</v>
      </c>
      <c r="B102" t="s">
        <v>23</v>
      </c>
      <c r="C102" t="s">
        <v>54</v>
      </c>
      <c r="D102" t="s">
        <v>58</v>
      </c>
      <c r="E102">
        <v>30851.586</v>
      </c>
      <c r="F102" t="s">
        <v>61</v>
      </c>
      <c r="G102">
        <v>24904.65</v>
      </c>
      <c r="H102">
        <v>23.87881781113166</v>
      </c>
      <c r="I102" t="s">
        <v>63</v>
      </c>
      <c r="J102" t="s">
        <v>66</v>
      </c>
      <c r="K102" t="s">
        <v>94</v>
      </c>
      <c r="L102">
        <f>SUM(NPAT range)</f>
        <v>0</v>
      </c>
      <c r="M102" t="s">
        <v>145</v>
      </c>
    </row>
    <row r="103" spans="1:13">
      <c r="A103" t="s">
        <v>14</v>
      </c>
      <c r="B103" t="s">
        <v>24</v>
      </c>
      <c r="C103" t="s">
        <v>54</v>
      </c>
      <c r="D103" t="s">
        <v>58</v>
      </c>
      <c r="E103">
        <v>30078.169</v>
      </c>
      <c r="F103" t="s">
        <v>61</v>
      </c>
      <c r="G103">
        <v>24519.655</v>
      </c>
      <c r="H103">
        <v>22.66962565337889</v>
      </c>
      <c r="I103" t="s">
        <v>63</v>
      </c>
      <c r="J103" t="s">
        <v>66</v>
      </c>
      <c r="K103" t="s">
        <v>95</v>
      </c>
      <c r="L103">
        <f>SUM(NPAT_parent range)</f>
        <v>0</v>
      </c>
      <c r="M103" t="s">
        <v>146</v>
      </c>
    </row>
    <row r="104" spans="1:13">
      <c r="A104" t="s">
        <v>14</v>
      </c>
      <c r="B104" t="s">
        <v>25</v>
      </c>
      <c r="C104" t="s">
        <v>54</v>
      </c>
      <c r="D104" t="s">
        <v>58</v>
      </c>
      <c r="E104">
        <v>4.015938222093594</v>
      </c>
      <c r="F104" t="s">
        <v>61</v>
      </c>
      <c r="G104">
        <v>4.176330404358078</v>
      </c>
      <c r="H104">
        <v>-0.1603921822644842</v>
      </c>
      <c r="I104" t="s">
        <v>64</v>
      </c>
      <c r="J104" t="s">
        <v>67</v>
      </c>
      <c r="K104" t="s">
        <v>96</v>
      </c>
      <c r="L104">
        <f>NII*ann/AVERAGE(IEA)</f>
        <v>0</v>
      </c>
      <c r="M104" t="s">
        <v>147</v>
      </c>
    </row>
    <row r="105" spans="1:13">
      <c r="A105" t="s">
        <v>14</v>
      </c>
      <c r="B105" t="s">
        <v>26</v>
      </c>
      <c r="C105" t="s">
        <v>54</v>
      </c>
      <c r="D105" t="s">
        <v>58</v>
      </c>
      <c r="E105">
        <v>28.4276267873202</v>
      </c>
      <c r="F105" t="s">
        <v>61</v>
      </c>
      <c r="G105">
        <v>28.96206591242971</v>
      </c>
      <c r="H105">
        <v>-0.5344391251095182</v>
      </c>
      <c r="I105" t="s">
        <v>64</v>
      </c>
      <c r="J105" t="s">
        <v>67</v>
      </c>
      <c r="K105" t="s">
        <v>79</v>
      </c>
      <c r="L105">
        <f>-Opex/TOI</f>
        <v>0</v>
      </c>
      <c r="M105" t="s">
        <v>148</v>
      </c>
    </row>
    <row r="106" spans="1:13">
      <c r="A106" t="s">
        <v>14</v>
      </c>
      <c r="B106" t="s">
        <v>27</v>
      </c>
      <c r="C106" t="s">
        <v>54</v>
      </c>
      <c r="D106" t="s">
        <v>58</v>
      </c>
      <c r="E106">
        <v>1.303777332577602</v>
      </c>
      <c r="F106" t="s">
        <v>61</v>
      </c>
      <c r="G106">
        <v>1.649707755239141</v>
      </c>
      <c r="H106">
        <v>-0.3459304226615385</v>
      </c>
      <c r="I106" t="s">
        <v>64</v>
      </c>
      <c r="J106" t="s">
        <v>67</v>
      </c>
      <c r="K106" t="s">
        <v>97</v>
      </c>
      <c r="L106">
        <f>-Prov*ann/AVERAGE(Loans)</f>
        <v>0</v>
      </c>
      <c r="M106" t="s">
        <v>149</v>
      </c>
    </row>
    <row r="107" spans="1:13">
      <c r="A107" t="s">
        <v>14</v>
      </c>
      <c r="B107" t="s">
        <v>28</v>
      </c>
      <c r="C107" t="s">
        <v>54</v>
      </c>
      <c r="D107" t="s">
        <v>58</v>
      </c>
      <c r="E107">
        <v>22.14404171611876</v>
      </c>
      <c r="F107" t="s">
        <v>61</v>
      </c>
      <c r="G107">
        <v>21.91894252780093</v>
      </c>
      <c r="H107">
        <v>0.2250991883178272</v>
      </c>
      <c r="I107" t="s">
        <v>64</v>
      </c>
      <c r="J107" t="s">
        <v>67</v>
      </c>
      <c r="K107" t="s">
        <v>98</v>
      </c>
      <c r="L107">
        <f>NPAT_parent*ann/AVERAGE(Equity-MI)</f>
        <v>0</v>
      </c>
      <c r="M107" t="s">
        <v>150</v>
      </c>
    </row>
    <row r="108" spans="1:13">
      <c r="A108" t="s">
        <v>14</v>
      </c>
      <c r="B108" t="s">
        <v>29</v>
      </c>
      <c r="C108" t="s">
        <v>54</v>
      </c>
      <c r="D108" t="s">
        <v>58</v>
      </c>
      <c r="E108">
        <v>21.74408205743117</v>
      </c>
      <c r="F108" t="s">
        <v>61</v>
      </c>
      <c r="G108">
        <v>21.367223830971</v>
      </c>
      <c r="H108">
        <v>0.3768582264601718</v>
      </c>
      <c r="I108" t="s">
        <v>64</v>
      </c>
      <c r="J108" t="s">
        <v>67</v>
      </c>
      <c r="K108" t="s">
        <v>99</v>
      </c>
      <c r="L108">
        <f>NPAT*ann/AVERAGE(Equity)</f>
        <v>0</v>
      </c>
      <c r="M108" t="s">
        <v>151</v>
      </c>
    </row>
    <row r="109" spans="1:13">
      <c r="A109" t="s">
        <v>14</v>
      </c>
      <c r="B109" t="s">
        <v>30</v>
      </c>
      <c r="C109" t="s">
        <v>54</v>
      </c>
      <c r="D109" t="s">
        <v>58</v>
      </c>
      <c r="E109">
        <v>2.035547344260212</v>
      </c>
      <c r="F109" t="s">
        <v>61</v>
      </c>
      <c r="G109">
        <v>2.226497396895982</v>
      </c>
      <c r="H109">
        <v>-0.1909500526357694</v>
      </c>
      <c r="I109" t="s">
        <v>64</v>
      </c>
      <c r="J109" t="s">
        <v>67</v>
      </c>
      <c r="K109" t="s">
        <v>100</v>
      </c>
      <c r="L109">
        <f>NPAT*ann/AVERAGE(Assets)</f>
        <v>0</v>
      </c>
      <c r="M109" t="s">
        <v>152</v>
      </c>
    </row>
    <row r="110" spans="1:13">
      <c r="A110" t="s">
        <v>14</v>
      </c>
      <c r="B110" t="s">
        <v>31</v>
      </c>
      <c r="C110" t="s">
        <v>54</v>
      </c>
      <c r="D110" t="s">
        <v>58</v>
      </c>
      <c r="E110">
        <v>20.00584432926339</v>
      </c>
      <c r="F110" t="s">
        <v>61</v>
      </c>
      <c r="G110">
        <v>20.40784354732957</v>
      </c>
      <c r="H110">
        <v>-0.4019992180661802</v>
      </c>
      <c r="I110" t="s">
        <v>64</v>
      </c>
      <c r="J110" t="s">
        <v>67</v>
      </c>
      <c r="K110" t="s">
        <v>84</v>
      </c>
      <c r="L110">
        <f>-Tax/PBT</f>
        <v>0</v>
      </c>
      <c r="M110" t="s">
        <v>153</v>
      </c>
    </row>
    <row r="111" spans="1:13">
      <c r="A111" t="s">
        <v>14</v>
      </c>
      <c r="B111" t="s">
        <v>32</v>
      </c>
      <c r="C111" t="s">
        <v>54</v>
      </c>
      <c r="D111" t="s">
        <v>58</v>
      </c>
      <c r="E111">
        <v>9.511194539024698</v>
      </c>
      <c r="F111" t="s">
        <v>61</v>
      </c>
      <c r="G111">
        <v>8.441311631052448</v>
      </c>
      <c r="H111">
        <v>1.06988290797225</v>
      </c>
      <c r="I111" t="s">
        <v>64</v>
      </c>
      <c r="J111" t="s">
        <v>67</v>
      </c>
      <c r="K111" t="s">
        <v>85</v>
      </c>
      <c r="L111">
        <f>Fee/TOI</f>
        <v>0</v>
      </c>
      <c r="M111" t="s">
        <v>154</v>
      </c>
    </row>
    <row r="112" spans="1:13">
      <c r="A112" t="s">
        <v>14</v>
      </c>
      <c r="B112" t="s">
        <v>15</v>
      </c>
      <c r="C112" t="s">
        <v>55</v>
      </c>
      <c r="D112" t="s">
        <v>59</v>
      </c>
      <c r="E112">
        <v>31806.771</v>
      </c>
      <c r="F112" t="s">
        <v>62</v>
      </c>
      <c r="G112">
        <v>24064.301</v>
      </c>
      <c r="H112">
        <v>32.17409057508049</v>
      </c>
      <c r="I112" t="s">
        <v>63</v>
      </c>
      <c r="J112" t="s">
        <v>66</v>
      </c>
      <c r="K112" t="s">
        <v>101</v>
      </c>
      <c r="L112">
        <f>SUM(NII range)</f>
        <v>0</v>
      </c>
      <c r="M112" t="s">
        <v>137</v>
      </c>
    </row>
    <row r="113" spans="1:13">
      <c r="A113" t="s">
        <v>14</v>
      </c>
      <c r="B113" t="s">
        <v>16</v>
      </c>
      <c r="C113" t="s">
        <v>55</v>
      </c>
      <c r="D113" t="s">
        <v>59</v>
      </c>
      <c r="E113">
        <v>3514.419</v>
      </c>
      <c r="F113" t="s">
        <v>62</v>
      </c>
      <c r="G113">
        <v>3150.959</v>
      </c>
      <c r="H113">
        <v>11.53490096189764</v>
      </c>
      <c r="I113" t="s">
        <v>63</v>
      </c>
      <c r="J113" t="s">
        <v>66</v>
      </c>
      <c r="K113" t="s">
        <v>102</v>
      </c>
      <c r="L113">
        <f>SUM(Fee range)</f>
        <v>0</v>
      </c>
      <c r="M113" t="s">
        <v>138</v>
      </c>
    </row>
    <row r="114" spans="1:13">
      <c r="A114" t="s">
        <v>14</v>
      </c>
      <c r="B114" t="s">
        <v>17</v>
      </c>
      <c r="C114" t="s">
        <v>55</v>
      </c>
      <c r="D114" t="s">
        <v>59</v>
      </c>
      <c r="E114">
        <v>6057.748999999998</v>
      </c>
      <c r="F114" t="s">
        <v>62</v>
      </c>
      <c r="G114">
        <v>8504.074000000001</v>
      </c>
      <c r="H114">
        <v>-28.76650650029624</v>
      </c>
      <c r="I114" t="s">
        <v>63</v>
      </c>
      <c r="J114" t="s">
        <v>66</v>
      </c>
      <c r="K114" t="s">
        <v>103</v>
      </c>
      <c r="L114">
        <f>SUM(NonII range)</f>
        <v>0</v>
      </c>
      <c r="M114" t="s">
        <v>139</v>
      </c>
    </row>
    <row r="115" spans="1:13">
      <c r="A115" t="s">
        <v>14</v>
      </c>
      <c r="B115" t="s">
        <v>18</v>
      </c>
      <c r="C115" t="s">
        <v>55</v>
      </c>
      <c r="D115" t="s">
        <v>59</v>
      </c>
      <c r="E115">
        <v>37864.52</v>
      </c>
      <c r="F115" t="s">
        <v>62</v>
      </c>
      <c r="G115">
        <v>32568.375</v>
      </c>
      <c r="H115">
        <v>16.26161882501045</v>
      </c>
      <c r="I115" t="s">
        <v>63</v>
      </c>
      <c r="J115" t="s">
        <v>66</v>
      </c>
      <c r="K115" t="s">
        <v>104</v>
      </c>
      <c r="L115">
        <f>SUM(TOI range)</f>
        <v>0</v>
      </c>
      <c r="M115" t="s">
        <v>140</v>
      </c>
    </row>
    <row r="116" spans="1:13">
      <c r="A116" t="s">
        <v>14</v>
      </c>
      <c r="B116" t="s">
        <v>19</v>
      </c>
      <c r="C116" t="s">
        <v>55</v>
      </c>
      <c r="D116" t="s">
        <v>59</v>
      </c>
      <c r="E116">
        <v>-9974.361000000001</v>
      </c>
      <c r="F116" t="s">
        <v>62</v>
      </c>
      <c r="G116">
        <v>-8906.428</v>
      </c>
      <c r="H116">
        <v>11.99058702321516</v>
      </c>
      <c r="I116" t="s">
        <v>63</v>
      </c>
      <c r="J116" t="s">
        <v>66</v>
      </c>
      <c r="K116" t="s">
        <v>105</v>
      </c>
      <c r="L116">
        <f>SUM(Opex range)</f>
        <v>0</v>
      </c>
      <c r="M116" t="s">
        <v>141</v>
      </c>
    </row>
    <row r="117" spans="1:13">
      <c r="A117" t="s">
        <v>14</v>
      </c>
      <c r="B117" t="s">
        <v>20</v>
      </c>
      <c r="C117" t="s">
        <v>55</v>
      </c>
      <c r="D117" t="s">
        <v>59</v>
      </c>
      <c r="E117">
        <v>27890.159</v>
      </c>
      <c r="F117" t="s">
        <v>62</v>
      </c>
      <c r="G117">
        <v>23661.947</v>
      </c>
      <c r="H117">
        <v>17.86924803778827</v>
      </c>
      <c r="I117" t="s">
        <v>63</v>
      </c>
      <c r="J117" t="s">
        <v>66</v>
      </c>
      <c r="K117" t="s">
        <v>106</v>
      </c>
      <c r="L117">
        <f>SUM(PPOP range)</f>
        <v>0</v>
      </c>
      <c r="M117" t="s">
        <v>142</v>
      </c>
    </row>
    <row r="118" spans="1:13">
      <c r="A118" t="s">
        <v>14</v>
      </c>
      <c r="B118" t="s">
        <v>21</v>
      </c>
      <c r="C118" t="s">
        <v>55</v>
      </c>
      <c r="D118" t="s">
        <v>59</v>
      </c>
      <c r="E118">
        <v>-7701.901</v>
      </c>
      <c r="F118" t="s">
        <v>62</v>
      </c>
      <c r="G118">
        <v>-7772.630999999999</v>
      </c>
      <c r="H118">
        <v>-0.9099878792650729</v>
      </c>
      <c r="I118" t="s">
        <v>63</v>
      </c>
      <c r="J118" t="s">
        <v>66</v>
      </c>
      <c r="K118" t="s">
        <v>107</v>
      </c>
      <c r="L118">
        <f>SUM(Prov range)</f>
        <v>0</v>
      </c>
      <c r="M118" t="s">
        <v>143</v>
      </c>
    </row>
    <row r="119" spans="1:13">
      <c r="A119" t="s">
        <v>14</v>
      </c>
      <c r="B119" t="s">
        <v>22</v>
      </c>
      <c r="C119" t="s">
        <v>55</v>
      </c>
      <c r="D119" t="s">
        <v>59</v>
      </c>
      <c r="E119">
        <v>20188.258</v>
      </c>
      <c r="F119" t="s">
        <v>62</v>
      </c>
      <c r="G119">
        <v>15889.316</v>
      </c>
      <c r="H119">
        <v>27.05555103819448</v>
      </c>
      <c r="I119" t="s">
        <v>63</v>
      </c>
      <c r="J119" t="s">
        <v>66</v>
      </c>
      <c r="K119" t="s">
        <v>108</v>
      </c>
      <c r="L119">
        <f>SUM(PBT range)</f>
        <v>0</v>
      </c>
      <c r="M119" t="s">
        <v>144</v>
      </c>
    </row>
    <row r="120" spans="1:13">
      <c r="A120" t="s">
        <v>14</v>
      </c>
      <c r="B120" t="s">
        <v>23</v>
      </c>
      <c r="C120" t="s">
        <v>55</v>
      </c>
      <c r="D120" t="s">
        <v>59</v>
      </c>
      <c r="E120">
        <v>16148.193</v>
      </c>
      <c r="F120" t="s">
        <v>62</v>
      </c>
      <c r="G120">
        <v>12679.585</v>
      </c>
      <c r="H120">
        <v>27.35584800291178</v>
      </c>
      <c r="I120" t="s">
        <v>63</v>
      </c>
      <c r="J120" t="s">
        <v>66</v>
      </c>
      <c r="K120" t="s">
        <v>109</v>
      </c>
      <c r="L120">
        <f>SUM(NPAT range)</f>
        <v>0</v>
      </c>
      <c r="M120" t="s">
        <v>145</v>
      </c>
    </row>
    <row r="121" spans="1:13">
      <c r="A121" t="s">
        <v>14</v>
      </c>
      <c r="B121" t="s">
        <v>24</v>
      </c>
      <c r="C121" t="s">
        <v>55</v>
      </c>
      <c r="D121" t="s">
        <v>59</v>
      </c>
      <c r="E121">
        <v>15744.575</v>
      </c>
      <c r="F121" t="s">
        <v>62</v>
      </c>
      <c r="G121">
        <v>12445.345</v>
      </c>
      <c r="H121">
        <v>26.50975123630563</v>
      </c>
      <c r="I121" t="s">
        <v>63</v>
      </c>
      <c r="J121" t="s">
        <v>66</v>
      </c>
      <c r="K121" t="s">
        <v>110</v>
      </c>
      <c r="L121">
        <f>SUM(NPAT_parent range)</f>
        <v>0</v>
      </c>
      <c r="M121" t="s">
        <v>146</v>
      </c>
    </row>
    <row r="122" spans="1:13">
      <c r="A122" t="s">
        <v>14</v>
      </c>
      <c r="B122" t="s">
        <v>25</v>
      </c>
      <c r="C122" t="s">
        <v>55</v>
      </c>
      <c r="D122" t="s">
        <v>59</v>
      </c>
      <c r="E122">
        <v>3.952464889615576</v>
      </c>
      <c r="F122" t="s">
        <v>62</v>
      </c>
      <c r="G122">
        <v>4.131227465100441</v>
      </c>
      <c r="H122">
        <v>-0.1787625754848645</v>
      </c>
      <c r="I122" t="s">
        <v>64</v>
      </c>
      <c r="J122" t="s">
        <v>67</v>
      </c>
      <c r="K122" t="s">
        <v>111</v>
      </c>
      <c r="L122">
        <f>NII*ann/AVERAGE(IEA)</f>
        <v>0</v>
      </c>
      <c r="M122" t="s">
        <v>147</v>
      </c>
    </row>
    <row r="123" spans="1:13">
      <c r="A123" t="s">
        <v>14</v>
      </c>
      <c r="B123" t="s">
        <v>26</v>
      </c>
      <c r="C123" t="s">
        <v>55</v>
      </c>
      <c r="D123" t="s">
        <v>59</v>
      </c>
      <c r="E123">
        <v>26.34223542250107</v>
      </c>
      <c r="F123" t="s">
        <v>62</v>
      </c>
      <c r="G123">
        <v>27.34686025937739</v>
      </c>
      <c r="H123">
        <v>-1.004624836876317</v>
      </c>
      <c r="I123" t="s">
        <v>64</v>
      </c>
      <c r="J123" t="s">
        <v>67</v>
      </c>
      <c r="K123" t="s">
        <v>79</v>
      </c>
      <c r="L123">
        <f>-Opex/TOI</f>
        <v>0</v>
      </c>
      <c r="M123" t="s">
        <v>148</v>
      </c>
    </row>
    <row r="124" spans="1:13">
      <c r="A124" t="s">
        <v>14</v>
      </c>
      <c r="B124" t="s">
        <v>27</v>
      </c>
      <c r="C124" t="s">
        <v>55</v>
      </c>
      <c r="D124" t="s">
        <v>59</v>
      </c>
      <c r="E124">
        <v>1.346432704988984</v>
      </c>
      <c r="F124" t="s">
        <v>62</v>
      </c>
      <c r="G124">
        <v>1.900334446461367</v>
      </c>
      <c r="H124">
        <v>-0.5539017414723826</v>
      </c>
      <c r="I124" t="s">
        <v>64</v>
      </c>
      <c r="J124" t="s">
        <v>67</v>
      </c>
      <c r="K124" t="s">
        <v>112</v>
      </c>
      <c r="L124">
        <f>-Prov*ann/AVERAGE(Loans)</f>
        <v>0</v>
      </c>
      <c r="M124" t="s">
        <v>149</v>
      </c>
    </row>
    <row r="125" spans="1:13">
      <c r="A125" t="s">
        <v>14</v>
      </c>
      <c r="B125" t="s">
        <v>28</v>
      </c>
      <c r="C125" t="s">
        <v>55</v>
      </c>
      <c r="D125" t="s">
        <v>59</v>
      </c>
      <c r="E125">
        <v>22.01744736473163</v>
      </c>
      <c r="F125" t="s">
        <v>62</v>
      </c>
      <c r="G125">
        <v>21.13109209058661</v>
      </c>
      <c r="H125">
        <v>0.8863552741450142</v>
      </c>
      <c r="I125" t="s">
        <v>64</v>
      </c>
      <c r="J125" t="s">
        <v>67</v>
      </c>
      <c r="K125" t="s">
        <v>113</v>
      </c>
      <c r="L125">
        <f>NPAT_parent*ann/AVERAGE(Equity-MI)</f>
        <v>0</v>
      </c>
      <c r="M125" t="s">
        <v>150</v>
      </c>
    </row>
    <row r="126" spans="1:13">
      <c r="A126" t="s">
        <v>14</v>
      </c>
      <c r="B126" t="s">
        <v>29</v>
      </c>
      <c r="C126" t="s">
        <v>55</v>
      </c>
      <c r="D126" t="s">
        <v>59</v>
      </c>
      <c r="E126">
        <v>21.60146507229451</v>
      </c>
      <c r="F126" t="s">
        <v>62</v>
      </c>
      <c r="G126">
        <v>20.64295751368538</v>
      </c>
      <c r="H126">
        <v>0.9585075586091244</v>
      </c>
      <c r="I126" t="s">
        <v>64</v>
      </c>
      <c r="J126" t="s">
        <v>67</v>
      </c>
      <c r="K126" t="s">
        <v>114</v>
      </c>
      <c r="L126">
        <f>NPAT*ann/AVERAGE(Equity)</f>
        <v>0</v>
      </c>
      <c r="M126" t="s">
        <v>151</v>
      </c>
    </row>
    <row r="127" spans="1:13">
      <c r="A127" t="s">
        <v>14</v>
      </c>
      <c r="B127" t="s">
        <v>30</v>
      </c>
      <c r="C127" t="s">
        <v>55</v>
      </c>
      <c r="D127" t="s">
        <v>59</v>
      </c>
      <c r="E127">
        <v>1.95341069835821</v>
      </c>
      <c r="F127" t="s">
        <v>62</v>
      </c>
      <c r="G127">
        <v>2.127826428546687</v>
      </c>
      <c r="H127">
        <v>-0.1744157301884767</v>
      </c>
      <c r="I127" t="s">
        <v>64</v>
      </c>
      <c r="J127" t="s">
        <v>67</v>
      </c>
      <c r="K127" t="s">
        <v>115</v>
      </c>
      <c r="L127">
        <f>NPAT*ann/AVERAGE(Assets)</f>
        <v>0</v>
      </c>
      <c r="M127" t="s">
        <v>152</v>
      </c>
    </row>
    <row r="128" spans="1:13">
      <c r="A128" t="s">
        <v>14</v>
      </c>
      <c r="B128" t="s">
        <v>31</v>
      </c>
      <c r="C128" t="s">
        <v>55</v>
      </c>
      <c r="D128" t="s">
        <v>59</v>
      </c>
      <c r="E128">
        <v>20.01195447373419</v>
      </c>
      <c r="F128" t="s">
        <v>62</v>
      </c>
      <c r="G128">
        <v>20.20056118211759</v>
      </c>
      <c r="H128">
        <v>-0.1886067083834035</v>
      </c>
      <c r="I128" t="s">
        <v>64</v>
      </c>
      <c r="J128" t="s">
        <v>67</v>
      </c>
      <c r="K128" t="s">
        <v>84</v>
      </c>
      <c r="L128">
        <f>-Tax/PBT</f>
        <v>0</v>
      </c>
      <c r="M128" t="s">
        <v>153</v>
      </c>
    </row>
    <row r="129" spans="1:13">
      <c r="A129" t="s">
        <v>14</v>
      </c>
      <c r="B129" t="s">
        <v>32</v>
      </c>
      <c r="C129" t="s">
        <v>55</v>
      </c>
      <c r="D129" t="s">
        <v>59</v>
      </c>
      <c r="E129">
        <v>9.281562264621339</v>
      </c>
      <c r="F129" t="s">
        <v>62</v>
      </c>
      <c r="G129">
        <v>9.674903952070068</v>
      </c>
      <c r="H129">
        <v>-0.3933416874487268</v>
      </c>
      <c r="I129" t="s">
        <v>64</v>
      </c>
      <c r="J129" t="s">
        <v>67</v>
      </c>
      <c r="K129" t="s">
        <v>85</v>
      </c>
      <c r="L129">
        <f>Fee/TOI</f>
        <v>0</v>
      </c>
      <c r="M129" t="s">
        <v>154</v>
      </c>
    </row>
    <row r="130" spans="1:13">
      <c r="A130" t="s">
        <v>14</v>
      </c>
      <c r="B130" t="s">
        <v>33</v>
      </c>
      <c r="C130" t="s">
        <v>56</v>
      </c>
      <c r="D130" t="s">
        <v>57</v>
      </c>
      <c r="E130">
        <v>1.449809546823069</v>
      </c>
      <c r="F130" t="s">
        <v>60</v>
      </c>
      <c r="G130">
        <v>1.6044357656025</v>
      </c>
      <c r="H130">
        <v>-0.1546262187794302</v>
      </c>
      <c r="I130" t="s">
        <v>64</v>
      </c>
      <c r="J130" t="s">
        <v>67</v>
      </c>
      <c r="K130" t="s">
        <v>116</v>
      </c>
      <c r="L130">
        <f>(nob42+nob43+nob44)/nob39</f>
        <v>0</v>
      </c>
      <c r="M130" t="s">
        <v>155</v>
      </c>
    </row>
    <row r="131" spans="1:13">
      <c r="A131" t="s">
        <v>14</v>
      </c>
      <c r="B131" t="s">
        <v>34</v>
      </c>
      <c r="C131" t="s">
        <v>56</v>
      </c>
      <c r="D131" t="s">
        <v>57</v>
      </c>
      <c r="E131">
        <v>0.9767177933562292</v>
      </c>
      <c r="F131" t="s">
        <v>60</v>
      </c>
      <c r="G131">
        <v>1.297912273119992</v>
      </c>
      <c r="H131">
        <v>-0.3211944797637631</v>
      </c>
      <c r="I131" t="s">
        <v>64</v>
      </c>
      <c r="J131" t="s">
        <v>67</v>
      </c>
      <c r="K131" t="s">
        <v>117</v>
      </c>
      <c r="L131">
        <f>nob41/nob39</f>
        <v>0</v>
      </c>
      <c r="M131" t="s">
        <v>156</v>
      </c>
    </row>
    <row r="132" spans="1:13">
      <c r="A132" t="s">
        <v>14</v>
      </c>
      <c r="B132" t="s">
        <v>35</v>
      </c>
      <c r="C132" t="s">
        <v>56</v>
      </c>
      <c r="D132" t="s">
        <v>57</v>
      </c>
      <c r="E132">
        <v>93.62640824102574</v>
      </c>
      <c r="F132" t="s">
        <v>60</v>
      </c>
      <c r="G132">
        <v>88.88634511292075</v>
      </c>
      <c r="H132">
        <v>4.740063128104993</v>
      </c>
      <c r="I132" t="s">
        <v>64</v>
      </c>
      <c r="J132" t="s">
        <v>67</v>
      </c>
      <c r="K132" t="s">
        <v>118</v>
      </c>
      <c r="L132">
        <f>-LLR/(nob42+nob43+nob44)</f>
        <v>0</v>
      </c>
      <c r="M132" t="s">
        <v>157</v>
      </c>
    </row>
    <row r="133" spans="1:13">
      <c r="A133" t="s">
        <v>14</v>
      </c>
      <c r="B133" t="s">
        <v>36</v>
      </c>
      <c r="C133" t="s">
        <v>56</v>
      </c>
      <c r="D133" t="s">
        <v>57</v>
      </c>
      <c r="E133">
        <v>33.62108225880862</v>
      </c>
      <c r="F133" t="s">
        <v>60</v>
      </c>
      <c r="G133">
        <v>36.93789135888788</v>
      </c>
      <c r="H133">
        <v>-3.316809100079261</v>
      </c>
      <c r="I133" t="s">
        <v>64</v>
      </c>
      <c r="J133" t="s">
        <v>67</v>
      </c>
      <c r="K133" t="s">
        <v>119</v>
      </c>
      <c r="L133">
        <f>nob66/nob65</f>
        <v>0</v>
      </c>
      <c r="M133" t="s">
        <v>158</v>
      </c>
    </row>
    <row r="134" spans="1:13">
      <c r="A134" t="s">
        <v>14</v>
      </c>
      <c r="B134" t="s">
        <v>37</v>
      </c>
      <c r="C134" t="s">
        <v>56</v>
      </c>
      <c r="D134" t="s">
        <v>57</v>
      </c>
      <c r="E134">
        <v>34.61029392998145</v>
      </c>
      <c r="F134" t="s">
        <v>60</v>
      </c>
      <c r="G134">
        <v>37.90188050812852</v>
      </c>
      <c r="H134">
        <v>-3.291586578147076</v>
      </c>
      <c r="I134" t="s">
        <v>64</v>
      </c>
      <c r="J134" t="s">
        <v>67</v>
      </c>
      <c r="K134" t="s">
        <v>120</v>
      </c>
      <c r="L134">
        <f>(nob66+nob69+nob70)/nob65</f>
        <v>0</v>
      </c>
      <c r="M134" t="s">
        <v>159</v>
      </c>
    </row>
    <row r="135" spans="1:13">
      <c r="A135" t="s">
        <v>14</v>
      </c>
      <c r="B135" t="s">
        <v>38</v>
      </c>
      <c r="C135" t="s">
        <v>56</v>
      </c>
      <c r="D135" t="s">
        <v>57</v>
      </c>
      <c r="E135">
        <v>127.3640711454238</v>
      </c>
      <c r="F135" t="s">
        <v>60</v>
      </c>
      <c r="G135">
        <v>112.3321336545711</v>
      </c>
      <c r="H135">
        <v>15.03193749085268</v>
      </c>
      <c r="I135" t="s">
        <v>64</v>
      </c>
      <c r="J135" t="s">
        <v>67</v>
      </c>
      <c r="K135" t="s">
        <v>121</v>
      </c>
      <c r="L135">
        <f>Loans/Deposits</f>
        <v>0</v>
      </c>
      <c r="M135" t="s">
        <v>160</v>
      </c>
    </row>
    <row r="136" spans="1:13">
      <c r="A136" t="s">
        <v>14</v>
      </c>
      <c r="B136" t="s">
        <v>39</v>
      </c>
      <c r="C136" t="s">
        <v>56</v>
      </c>
      <c r="D136" t="s">
        <v>57</v>
      </c>
      <c r="E136">
        <v>9.045672166012135</v>
      </c>
      <c r="F136" t="s">
        <v>60</v>
      </c>
      <c r="G136">
        <v>9.909992020683706</v>
      </c>
      <c r="H136">
        <v>-0.8643198546715709</v>
      </c>
      <c r="I136" t="s">
        <v>64</v>
      </c>
      <c r="J136" t="s">
        <v>67</v>
      </c>
      <c r="K136" t="s">
        <v>122</v>
      </c>
      <c r="L136">
        <f>Equity/Assets</f>
        <v>0</v>
      </c>
      <c r="M136" t="s">
        <v>161</v>
      </c>
    </row>
    <row r="137" spans="1:13">
      <c r="A137" t="s">
        <v>14</v>
      </c>
      <c r="B137" t="s">
        <v>40</v>
      </c>
      <c r="C137" t="s">
        <v>56</v>
      </c>
      <c r="D137" t="s">
        <v>57</v>
      </c>
      <c r="E137">
        <v>13.24100942956397</v>
      </c>
      <c r="F137" t="s">
        <v>60</v>
      </c>
      <c r="G137">
        <v>13.29165314322982</v>
      </c>
      <c r="H137">
        <v>-0.0506437136658508</v>
      </c>
      <c r="I137" t="s">
        <v>64</v>
      </c>
      <c r="J137" t="s">
        <v>67</v>
      </c>
      <c r="K137" t="s">
        <v>123</v>
      </c>
      <c r="L137">
        <f>Loans/Loans_PriorQ4-1</f>
        <v>0</v>
      </c>
      <c r="M137" t="s">
        <v>162</v>
      </c>
    </row>
    <row r="138" spans="1:13">
      <c r="A138" t="s">
        <v>14</v>
      </c>
      <c r="B138" t="s">
        <v>41</v>
      </c>
      <c r="C138" t="s">
        <v>56</v>
      </c>
      <c r="D138" t="s">
        <v>57</v>
      </c>
      <c r="E138">
        <v>4.606977767709464</v>
      </c>
      <c r="F138" t="s">
        <v>60</v>
      </c>
      <c r="G138">
        <v>9.681018747765924</v>
      </c>
      <c r="H138">
        <v>-5.07404098005646</v>
      </c>
      <c r="I138" t="s">
        <v>64</v>
      </c>
      <c r="J138" t="s">
        <v>67</v>
      </c>
      <c r="K138" t="s">
        <v>124</v>
      </c>
      <c r="L138">
        <f>Deposits/Deposits_PriorQ4-1</f>
        <v>0</v>
      </c>
      <c r="M138" t="s">
        <v>163</v>
      </c>
    </row>
    <row r="139" spans="1:13">
      <c r="A139" t="s">
        <v>14</v>
      </c>
      <c r="B139" t="s">
        <v>42</v>
      </c>
      <c r="C139" t="s">
        <v>56</v>
      </c>
      <c r="D139" t="s">
        <v>57</v>
      </c>
      <c r="E139">
        <v>39.51250173895608</v>
      </c>
      <c r="F139" t="s">
        <v>60</v>
      </c>
      <c r="G139">
        <v>30.5861890495754</v>
      </c>
      <c r="H139">
        <v>8.926312689380687</v>
      </c>
      <c r="I139" t="s">
        <v>64</v>
      </c>
      <c r="J139" t="s">
        <v>67</v>
      </c>
      <c r="K139" t="s">
        <v>125</v>
      </c>
      <c r="L139">
        <f>Loans/Loans_4Qago-1</f>
        <v>0</v>
      </c>
      <c r="M139" t="s">
        <v>162</v>
      </c>
    </row>
    <row r="140" spans="1:13">
      <c r="A140" t="s">
        <v>14</v>
      </c>
      <c r="B140" t="s">
        <v>43</v>
      </c>
      <c r="C140" t="s">
        <v>56</v>
      </c>
      <c r="D140" t="s">
        <v>57</v>
      </c>
      <c r="E140">
        <v>23.04676547226629</v>
      </c>
      <c r="F140" t="s">
        <v>60</v>
      </c>
      <c r="G140">
        <v>26.61971788137085</v>
      </c>
      <c r="H140">
        <v>-3.572952409104563</v>
      </c>
      <c r="I140" t="s">
        <v>64</v>
      </c>
      <c r="J140" t="s">
        <v>67</v>
      </c>
      <c r="K140" t="s">
        <v>126</v>
      </c>
      <c r="L140">
        <f>Deposits/Deposits_4Qago-1</f>
        <v>0</v>
      </c>
      <c r="M140" t="s">
        <v>163</v>
      </c>
    </row>
    <row r="141" spans="1:13">
      <c r="A141" t="s">
        <v>14</v>
      </c>
      <c r="B141" t="s">
        <v>44</v>
      </c>
      <c r="C141" t="s">
        <v>56</v>
      </c>
      <c r="D141" t="s">
        <v>57</v>
      </c>
      <c r="E141">
        <v>19461.53270591598</v>
      </c>
      <c r="F141" t="s">
        <v>60</v>
      </c>
      <c r="G141">
        <v>20943.61499118189</v>
      </c>
      <c r="H141">
        <v>-1482.082285265908</v>
      </c>
      <c r="I141" t="s">
        <v>65</v>
      </c>
      <c r="J141" t="s">
        <v>65</v>
      </c>
      <c r="K141" t="s">
        <v>127</v>
      </c>
      <c r="L141">
        <f>Equity/(Charter/10000)</f>
        <v>0</v>
      </c>
      <c r="M141" t="s">
        <v>164</v>
      </c>
    </row>
    <row r="142" spans="1:13">
      <c r="A142" t="s">
        <v>14</v>
      </c>
      <c r="B142" t="s">
        <v>45</v>
      </c>
      <c r="C142" t="s">
        <v>56</v>
      </c>
      <c r="D142" t="s">
        <v>57</v>
      </c>
      <c r="E142">
        <v>18539.66292414231</v>
      </c>
      <c r="F142" t="s">
        <v>60</v>
      </c>
      <c r="G142">
        <v>20097.98038032617</v>
      </c>
      <c r="H142">
        <v>-1558.31745618386</v>
      </c>
      <c r="I142" t="s">
        <v>65</v>
      </c>
      <c r="J142" t="s">
        <v>65</v>
      </c>
      <c r="K142" t="s">
        <v>128</v>
      </c>
      <c r="L142">
        <f>(Equity-MI)/(Charter/10000)</f>
        <v>0</v>
      </c>
      <c r="M142" t="s">
        <v>165</v>
      </c>
    </row>
    <row r="143" spans="1:13">
      <c r="A143" t="s">
        <v>14</v>
      </c>
      <c r="B143" t="s">
        <v>46</v>
      </c>
      <c r="C143" t="s">
        <v>56</v>
      </c>
      <c r="D143" t="s">
        <v>57</v>
      </c>
      <c r="E143">
        <v>1227554.477</v>
      </c>
      <c r="F143" t="s">
        <v>60</v>
      </c>
      <c r="G143">
        <v>879888.513</v>
      </c>
      <c r="H143">
        <v>39.51250173895608</v>
      </c>
      <c r="I143" t="s">
        <v>63</v>
      </c>
      <c r="J143" t="s">
        <v>66</v>
      </c>
      <c r="K143" t="s">
        <v>129</v>
      </c>
      <c r="L143">
        <f>Loans</f>
        <v>0</v>
      </c>
      <c r="M143" t="s">
        <v>162</v>
      </c>
    </row>
    <row r="144" spans="1:13">
      <c r="A144" t="s">
        <v>14</v>
      </c>
      <c r="B144" t="s">
        <v>47</v>
      </c>
      <c r="C144" t="s">
        <v>56</v>
      </c>
      <c r="D144" t="s">
        <v>57</v>
      </c>
      <c r="E144">
        <v>963815.357</v>
      </c>
      <c r="F144" t="s">
        <v>60</v>
      </c>
      <c r="G144">
        <v>783291.9080000001</v>
      </c>
      <c r="H144">
        <v>23.04676547226629</v>
      </c>
      <c r="I144" t="s">
        <v>63</v>
      </c>
      <c r="J144" t="s">
        <v>66</v>
      </c>
      <c r="K144" t="s">
        <v>130</v>
      </c>
      <c r="L144">
        <f>Deposits</f>
        <v>0</v>
      </c>
      <c r="M144" t="s">
        <v>163</v>
      </c>
    </row>
    <row r="145" spans="1:13">
      <c r="A145" t="s">
        <v>14</v>
      </c>
      <c r="B145" t="s">
        <v>48</v>
      </c>
      <c r="C145" t="s">
        <v>56</v>
      </c>
      <c r="D145" t="s">
        <v>57</v>
      </c>
      <c r="E145">
        <v>1733012.662</v>
      </c>
      <c r="F145" t="s">
        <v>60</v>
      </c>
      <c r="G145">
        <v>1289644.328</v>
      </c>
      <c r="H145">
        <v>34.37911712352368</v>
      </c>
      <c r="I145" t="s">
        <v>63</v>
      </c>
      <c r="J145" t="s">
        <v>66</v>
      </c>
      <c r="K145" t="s">
        <v>131</v>
      </c>
      <c r="L145">
        <f>Assets</f>
        <v>0</v>
      </c>
      <c r="M145" t="s">
        <v>166</v>
      </c>
    </row>
    <row r="146" spans="1:13">
      <c r="A146" t="s">
        <v>14</v>
      </c>
      <c r="B146" t="s">
        <v>49</v>
      </c>
      <c r="C146" t="s">
        <v>56</v>
      </c>
      <c r="D146" t="s">
        <v>57</v>
      </c>
      <c r="E146">
        <v>156762.644</v>
      </c>
      <c r="F146" t="s">
        <v>60</v>
      </c>
      <c r="G146">
        <v>127803.65</v>
      </c>
      <c r="H146">
        <v>22.65897257237959</v>
      </c>
      <c r="I146" t="s">
        <v>63</v>
      </c>
      <c r="J146" t="s">
        <v>66</v>
      </c>
      <c r="K146" t="s">
        <v>132</v>
      </c>
      <c r="L146">
        <f>Equity</f>
        <v>0</v>
      </c>
      <c r="M146" t="s">
        <v>167</v>
      </c>
    </row>
    <row r="147" spans="1:13">
      <c r="A147" t="s">
        <v>14</v>
      </c>
      <c r="B147" t="s">
        <v>50</v>
      </c>
      <c r="C147" t="s">
        <v>56</v>
      </c>
      <c r="D147" t="s">
        <v>57</v>
      </c>
      <c r="E147">
        <v>149336.983</v>
      </c>
      <c r="F147" t="s">
        <v>60</v>
      </c>
      <c r="G147">
        <v>122643.357</v>
      </c>
      <c r="H147">
        <v>21.76524408085143</v>
      </c>
      <c r="I147" t="s">
        <v>63</v>
      </c>
      <c r="J147" t="s">
        <v>66</v>
      </c>
      <c r="K147" t="s">
        <v>133</v>
      </c>
      <c r="L147">
        <f>Equity_parent</f>
        <v>0</v>
      </c>
      <c r="M147" t="s">
        <v>168</v>
      </c>
    </row>
    <row r="148" spans="1:13">
      <c r="A148" t="s">
        <v>14</v>
      </c>
      <c r="B148" t="s">
        <v>51</v>
      </c>
      <c r="C148" t="s">
        <v>56</v>
      </c>
      <c r="D148" t="s">
        <v>57</v>
      </c>
      <c r="E148">
        <v>233503.962</v>
      </c>
      <c r="F148" t="s">
        <v>60</v>
      </c>
      <c r="G148">
        <v>170267.177</v>
      </c>
      <c r="H148">
        <v>37.1397389175014</v>
      </c>
      <c r="I148" t="s">
        <v>63</v>
      </c>
      <c r="J148" t="s">
        <v>66</v>
      </c>
      <c r="K148" t="s">
        <v>134</v>
      </c>
      <c r="L148">
        <f>Bonds</f>
        <v>0</v>
      </c>
      <c r="M148" t="s">
        <v>169</v>
      </c>
    </row>
    <row r="149" spans="1:13">
      <c r="A149" t="s">
        <v>14</v>
      </c>
      <c r="B149" t="s">
        <v>52</v>
      </c>
      <c r="C149" t="s">
        <v>56</v>
      </c>
      <c r="D149" t="s">
        <v>57</v>
      </c>
      <c r="E149">
        <v>14831.73032458339</v>
      </c>
      <c r="F149" t="s">
        <v>60</v>
      </c>
      <c r="I149" t="s">
        <v>65</v>
      </c>
      <c r="J149" t="s">
        <v>65</v>
      </c>
      <c r="K149" t="s">
        <v>136</v>
      </c>
      <c r="L149">
        <f>(Equity-MI)/Shares</f>
        <v>0</v>
      </c>
      <c r="M149" t="s">
        <v>171</v>
      </c>
    </row>
  </sheetData>
  <autoFilter ref="A1:M1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6.7109375" customWidth="1"/>
  </cols>
  <sheetData>
    <row r="1" spans="1:26">
      <c r="A1" t="s">
        <v>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25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28</v>
      </c>
      <c r="Y1" t="s">
        <v>193</v>
      </c>
      <c r="Z1" t="s">
        <v>194</v>
      </c>
    </row>
    <row r="2" spans="1:26">
      <c r="A2" t="s">
        <v>13</v>
      </c>
      <c r="B2" t="s">
        <v>195</v>
      </c>
      <c r="C2" t="s">
        <v>201</v>
      </c>
      <c r="D2">
        <v>416905.4348000001</v>
      </c>
      <c r="E2">
        <v>38137.39</v>
      </c>
      <c r="F2">
        <v>4.117800960842739</v>
      </c>
      <c r="G2">
        <v>0.9519753566906488</v>
      </c>
      <c r="H2">
        <v>0.4729669693430439</v>
      </c>
      <c r="I2">
        <v>5.069776317533387</v>
      </c>
      <c r="J2">
        <v>-1.734233328828747</v>
      </c>
      <c r="K2">
        <v>3.335542988704641</v>
      </c>
      <c r="L2">
        <v>-1.181181771439934</v>
      </c>
      <c r="M2">
        <v>2.154361217264707</v>
      </c>
      <c r="N2">
        <v>-0.4308806866146423</v>
      </c>
      <c r="O2">
        <v>1.723480530650065</v>
      </c>
      <c r="P2">
        <v>0</v>
      </c>
      <c r="Q2">
        <v>1.723480530650065</v>
      </c>
      <c r="R2">
        <v>4.165667736026619</v>
      </c>
      <c r="S2">
        <v>98.85092191175244</v>
      </c>
      <c r="T2">
        <v>0.7999960808978397</v>
      </c>
      <c r="U2">
        <v>1</v>
      </c>
      <c r="V2">
        <v>10.93167190518282</v>
      </c>
      <c r="W2">
        <v>1.723480530650065</v>
      </c>
      <c r="X2">
        <v>18.84052369603688</v>
      </c>
      <c r="Y2">
        <v>18.84052369603689</v>
      </c>
      <c r="Z2">
        <v>-4.440892098500626E-16</v>
      </c>
    </row>
    <row r="3" spans="1:26">
      <c r="A3" t="s">
        <v>13</v>
      </c>
      <c r="B3" t="s">
        <v>196</v>
      </c>
      <c r="C3" t="s">
        <v>202</v>
      </c>
      <c r="D3">
        <v>438653.2886</v>
      </c>
      <c r="E3">
        <v>39301.8006</v>
      </c>
      <c r="F3">
        <v>3.81859943497982</v>
      </c>
      <c r="G3">
        <v>0.8705371871683718</v>
      </c>
      <c r="H3">
        <v>0.4024725326087525</v>
      </c>
      <c r="I3">
        <v>4.689136622148192</v>
      </c>
      <c r="J3">
        <v>-1.643961686236404</v>
      </c>
      <c r="K3">
        <v>3.045174935911788</v>
      </c>
      <c r="L3">
        <v>-0.992459902419617</v>
      </c>
      <c r="M3">
        <v>2.052715033492172</v>
      </c>
      <c r="N3">
        <v>-0.4103085618585739</v>
      </c>
      <c r="O3">
        <v>1.642406471633597</v>
      </c>
      <c r="P3">
        <v>0</v>
      </c>
      <c r="Q3">
        <v>1.642406471633597</v>
      </c>
      <c r="R3">
        <v>3.85358841840959</v>
      </c>
      <c r="S3">
        <v>99.09204150441651</v>
      </c>
      <c r="T3">
        <v>0.8001142120732957</v>
      </c>
      <c r="U3">
        <v>1</v>
      </c>
      <c r="V3">
        <v>11.16114991942634</v>
      </c>
      <c r="W3">
        <v>1.642406471633597</v>
      </c>
      <c r="X3">
        <v>18.33114485853861</v>
      </c>
      <c r="Y3">
        <v>18.33114485853861</v>
      </c>
      <c r="Z3">
        <v>-4.440892098500626E-16</v>
      </c>
    </row>
    <row r="4" spans="1:26">
      <c r="A4" t="s">
        <v>13</v>
      </c>
      <c r="B4" t="s">
        <v>197</v>
      </c>
      <c r="C4" t="s">
        <v>203</v>
      </c>
      <c r="D4">
        <v>455822.6472</v>
      </c>
      <c r="E4">
        <v>40442.663</v>
      </c>
      <c r="F4">
        <v>3.538597105492832</v>
      </c>
      <c r="G4">
        <v>0.8165390690574709</v>
      </c>
      <c r="H4">
        <v>0.3754519461708747</v>
      </c>
      <c r="I4">
        <v>4.355136174550301</v>
      </c>
      <c r="J4">
        <v>-1.557455524337976</v>
      </c>
      <c r="K4">
        <v>2.797680650212327</v>
      </c>
      <c r="L4">
        <v>-0.8400859464799317</v>
      </c>
      <c r="M4">
        <v>1.957594703732395</v>
      </c>
      <c r="N4">
        <v>-0.3912418592965426</v>
      </c>
      <c r="O4">
        <v>1.566352844435852</v>
      </c>
      <c r="P4">
        <v>0</v>
      </c>
      <c r="Q4">
        <v>1.566352844435852</v>
      </c>
      <c r="R4">
        <v>3.566611965396625</v>
      </c>
      <c r="S4">
        <v>99.21452459152846</v>
      </c>
      <c r="T4">
        <v>0.8001415417856454</v>
      </c>
      <c r="U4">
        <v>1</v>
      </c>
      <c r="V4">
        <v>11.27083662121854</v>
      </c>
      <c r="W4">
        <v>1.566352844435852</v>
      </c>
      <c r="X4">
        <v>17.65410700081743</v>
      </c>
      <c r="Y4">
        <v>17.65410700081743</v>
      </c>
      <c r="Z4">
        <v>-2.220446049250313E-16</v>
      </c>
    </row>
    <row r="5" spans="1:26">
      <c r="A5" t="s">
        <v>13</v>
      </c>
      <c r="B5" t="s">
        <v>60</v>
      </c>
      <c r="C5" t="s">
        <v>61</v>
      </c>
      <c r="D5">
        <v>479226.8890000001</v>
      </c>
      <c r="E5">
        <v>41485.0662</v>
      </c>
      <c r="F5">
        <v>3.293118220668122</v>
      </c>
      <c r="G5">
        <v>0.8655225938292455</v>
      </c>
      <c r="H5">
        <v>0.3635223815665317</v>
      </c>
      <c r="I5">
        <v>4.158640814497367</v>
      </c>
      <c r="J5">
        <v>-1.497966863875203</v>
      </c>
      <c r="K5">
        <v>2.660673950622165</v>
      </c>
      <c r="L5">
        <v>-0.6959238048931765</v>
      </c>
      <c r="M5">
        <v>1.964750145728989</v>
      </c>
      <c r="N5">
        <v>-0.3927811738460276</v>
      </c>
      <c r="O5">
        <v>1.571968971882961</v>
      </c>
      <c r="P5">
        <v>0</v>
      </c>
      <c r="Q5">
        <v>1.571968971882961</v>
      </c>
      <c r="R5">
        <v>3.316669523185331</v>
      </c>
      <c r="S5">
        <v>99.2899110884406</v>
      </c>
      <c r="T5">
        <v>0.8000859423780357</v>
      </c>
      <c r="U5">
        <v>1</v>
      </c>
      <c r="V5">
        <v>11.55179279911575</v>
      </c>
      <c r="W5">
        <v>1.571968971882961</v>
      </c>
      <c r="X5">
        <v>18.15905984983097</v>
      </c>
      <c r="Y5">
        <v>18.15905984983097</v>
      </c>
      <c r="Z5">
        <v>-4.440892098500626E-16</v>
      </c>
    </row>
    <row r="6" spans="1:26">
      <c r="A6" t="s">
        <v>13</v>
      </c>
      <c r="B6" t="s">
        <v>198</v>
      </c>
      <c r="C6" t="s">
        <v>204</v>
      </c>
      <c r="D6">
        <v>501746.407</v>
      </c>
      <c r="E6">
        <v>42866.9334</v>
      </c>
      <c r="F6">
        <v>3.14798347923197</v>
      </c>
      <c r="G6">
        <v>0.8381690314725067</v>
      </c>
      <c r="H6">
        <v>0.3838688176196546</v>
      </c>
      <c r="I6">
        <v>3.986152510704476</v>
      </c>
      <c r="J6">
        <v>-1.43808822531339</v>
      </c>
      <c r="K6">
        <v>2.548064285391086</v>
      </c>
      <c r="L6">
        <v>-0.6651513500524179</v>
      </c>
      <c r="M6">
        <v>1.882912935338668</v>
      </c>
      <c r="N6">
        <v>-0.3764471401585941</v>
      </c>
      <c r="O6">
        <v>1.506465795180074</v>
      </c>
      <c r="P6">
        <v>0</v>
      </c>
      <c r="Q6">
        <v>1.506465795180074</v>
      </c>
      <c r="R6">
        <v>3.171932696540138</v>
      </c>
      <c r="S6">
        <v>99.2449645185003</v>
      </c>
      <c r="T6">
        <v>0.8000719347701093</v>
      </c>
      <c r="U6">
        <v>1</v>
      </c>
      <c r="V6">
        <v>11.7047422617826</v>
      </c>
      <c r="W6">
        <v>1.506465795180074</v>
      </c>
      <c r="X6">
        <v>17.63279385877414</v>
      </c>
      <c r="Y6">
        <v>17.63279385877414</v>
      </c>
      <c r="Z6">
        <v>4.440892098500626E-16</v>
      </c>
    </row>
    <row r="7" spans="1:26">
      <c r="A7" t="s">
        <v>13</v>
      </c>
      <c r="B7" t="s">
        <v>199</v>
      </c>
      <c r="C7" t="s">
        <v>205</v>
      </c>
      <c r="D7">
        <v>523890.5764</v>
      </c>
      <c r="E7">
        <v>44259.4642</v>
      </c>
      <c r="F7">
        <v>3.071664336965157</v>
      </c>
      <c r="G7">
        <v>0.7471943906490929</v>
      </c>
      <c r="H7">
        <v>0.4018665528338371</v>
      </c>
      <c r="I7">
        <v>3.818858727614249</v>
      </c>
      <c r="J7">
        <v>-1.419190635397732</v>
      </c>
      <c r="K7">
        <v>2.399668092216518</v>
      </c>
      <c r="L7">
        <v>-0.6617830432881977</v>
      </c>
      <c r="M7">
        <v>1.737885048928321</v>
      </c>
      <c r="N7">
        <v>-0.3472454138230229</v>
      </c>
      <c r="O7">
        <v>1.390639635105297</v>
      </c>
      <c r="P7">
        <v>0</v>
      </c>
      <c r="Q7">
        <v>1.390639635105297</v>
      </c>
      <c r="R7">
        <v>3.102777012033958</v>
      </c>
      <c r="S7">
        <v>98.9972635820063</v>
      </c>
      <c r="T7">
        <v>0.8001908043128892</v>
      </c>
      <c r="U7">
        <v>1</v>
      </c>
      <c r="V7">
        <v>11.83680340170047</v>
      </c>
      <c r="W7">
        <v>1.390639635105297</v>
      </c>
      <c r="X7">
        <v>16.46072796335388</v>
      </c>
      <c r="Y7">
        <v>16.46072796335388</v>
      </c>
      <c r="Z7">
        <v>-2.220446049250313E-16</v>
      </c>
    </row>
    <row r="8" spans="1:26">
      <c r="A8" t="s">
        <v>13</v>
      </c>
      <c r="B8" t="s">
        <v>200</v>
      </c>
      <c r="C8" t="s">
        <v>206</v>
      </c>
      <c r="D8">
        <v>538088.0900000001</v>
      </c>
      <c r="E8">
        <v>45715.9166</v>
      </c>
      <c r="F8">
        <v>3.046641861186706</v>
      </c>
      <c r="G8">
        <v>0.9054660548238488</v>
      </c>
      <c r="H8">
        <v>0.6907959995918139</v>
      </c>
      <c r="I8">
        <v>3.952107916010554</v>
      </c>
      <c r="J8">
        <v>-1.399159940522006</v>
      </c>
      <c r="K8">
        <v>2.552947975488549</v>
      </c>
      <c r="L8">
        <v>-0.7899474229210313</v>
      </c>
      <c r="M8">
        <v>1.763000552567517</v>
      </c>
      <c r="N8">
        <v>-0.3524216638952183</v>
      </c>
      <c r="O8">
        <v>1.410578888672299</v>
      </c>
      <c r="P8">
        <v>0</v>
      </c>
      <c r="Q8">
        <v>1.410578888672299</v>
      </c>
      <c r="R8">
        <v>3.084895673353399</v>
      </c>
      <c r="S8">
        <v>98.7599641538247</v>
      </c>
      <c r="T8">
        <v>0.8001012175623118</v>
      </c>
      <c r="U8">
        <v>1</v>
      </c>
      <c r="V8">
        <v>11.77025705747307</v>
      </c>
      <c r="W8">
        <v>1.410578888672299</v>
      </c>
      <c r="X8">
        <v>16.60287611951764</v>
      </c>
      <c r="Y8">
        <v>16.60287611951764</v>
      </c>
      <c r="Z8">
        <v>0</v>
      </c>
    </row>
    <row r="9" spans="1:26">
      <c r="A9" t="s">
        <v>13</v>
      </c>
      <c r="B9" t="s">
        <v>57</v>
      </c>
      <c r="C9" t="s">
        <v>58</v>
      </c>
      <c r="D9">
        <v>555142.2242000001</v>
      </c>
      <c r="E9">
        <v>46554.83</v>
      </c>
      <c r="F9">
        <v>3.024971127750149</v>
      </c>
      <c r="G9">
        <v>0.8509264462467094</v>
      </c>
      <c r="H9">
        <v>0.7909746022882327</v>
      </c>
      <c r="I9">
        <v>3.875897573996857</v>
      </c>
      <c r="J9">
        <v>-1.32342788563551</v>
      </c>
      <c r="K9">
        <v>2.552469688361348</v>
      </c>
      <c r="L9">
        <v>-0.881912199536848</v>
      </c>
      <c r="M9">
        <v>1.670557488824501</v>
      </c>
      <c r="N9">
        <v>-0.3341230263421205</v>
      </c>
      <c r="O9">
        <v>1.33643446248238</v>
      </c>
      <c r="P9">
        <v>0</v>
      </c>
      <c r="Q9">
        <v>1.33643446248238</v>
      </c>
      <c r="R9">
        <v>3.069506866448584</v>
      </c>
      <c r="S9">
        <v>98.54909141317664</v>
      </c>
      <c r="T9">
        <v>0.7999930989640898</v>
      </c>
      <c r="U9">
        <v>1</v>
      </c>
      <c r="V9">
        <v>11.92448182497928</v>
      </c>
      <c r="W9">
        <v>1.33643446248238</v>
      </c>
      <c r="X9">
        <v>15.93628845814709</v>
      </c>
      <c r="Y9">
        <v>15.93628845814709</v>
      </c>
      <c r="Z9">
        <v>-2.220446049250313E-16</v>
      </c>
    </row>
    <row r="10" spans="1:26">
      <c r="A10" t="s">
        <v>14</v>
      </c>
      <c r="B10" t="s">
        <v>195</v>
      </c>
      <c r="C10" t="s">
        <v>201</v>
      </c>
      <c r="D10">
        <v>935781.0836</v>
      </c>
      <c r="E10">
        <v>96762.29979999999</v>
      </c>
      <c r="F10">
        <v>4.18618560329274</v>
      </c>
      <c r="G10">
        <v>1.221069564266195</v>
      </c>
      <c r="H10">
        <v>0.4961853879475023</v>
      </c>
      <c r="I10">
        <v>5.407255167558935</v>
      </c>
      <c r="J10">
        <v>-1.670968378613205</v>
      </c>
      <c r="K10">
        <v>3.736286788945732</v>
      </c>
      <c r="L10">
        <v>-0.8484874442486541</v>
      </c>
      <c r="M10">
        <v>2.887799344697077</v>
      </c>
      <c r="N10">
        <v>-0.5779930899214428</v>
      </c>
      <c r="O10">
        <v>2.309806254775633</v>
      </c>
      <c r="P10">
        <v>-0.0297891253505137</v>
      </c>
      <c r="Q10">
        <v>2.28001712942512</v>
      </c>
      <c r="R10">
        <v>4.304156765513946</v>
      </c>
      <c r="S10">
        <v>97.25913416615256</v>
      </c>
      <c r="T10">
        <v>0.7998499823116786</v>
      </c>
      <c r="U10">
        <v>0.987103193053996</v>
      </c>
      <c r="V10">
        <v>9.67092644071281</v>
      </c>
      <c r="W10">
        <v>2.28001712942512</v>
      </c>
      <c r="X10">
        <v>22.04987794223551</v>
      </c>
      <c r="Y10">
        <v>22.04987794223551</v>
      </c>
      <c r="Z10">
        <v>-4.440892098500626E-16</v>
      </c>
    </row>
    <row r="11" spans="1:26">
      <c r="A11" t="s">
        <v>14</v>
      </c>
      <c r="B11" t="s">
        <v>196</v>
      </c>
      <c r="C11" t="s">
        <v>202</v>
      </c>
      <c r="D11">
        <v>998365.189</v>
      </c>
      <c r="E11">
        <v>101622.3296</v>
      </c>
      <c r="F11">
        <v>4.121960526410141</v>
      </c>
      <c r="G11">
        <v>1.428435522104327</v>
      </c>
      <c r="H11">
        <v>0.4375401955245857</v>
      </c>
      <c r="I11">
        <v>5.550396048514467</v>
      </c>
      <c r="J11">
        <v>-1.703509916750513</v>
      </c>
      <c r="K11">
        <v>3.846886131763955</v>
      </c>
      <c r="L11">
        <v>-0.9592325639470988</v>
      </c>
      <c r="M11">
        <v>2.887653567816856</v>
      </c>
      <c r="N11">
        <v>-0.5887689259165466</v>
      </c>
      <c r="O11">
        <v>2.298884641900309</v>
      </c>
      <c r="P11">
        <v>-0.0318026913897135</v>
      </c>
      <c r="Q11">
        <v>2.267081950510596</v>
      </c>
      <c r="R11">
        <v>4.229493649719076</v>
      </c>
      <c r="S11">
        <v>97.45754144078032</v>
      </c>
      <c r="T11">
        <v>0.7961081853867701</v>
      </c>
      <c r="U11">
        <v>0.9861660342541482</v>
      </c>
      <c r="V11">
        <v>9.82426985220382</v>
      </c>
      <c r="W11">
        <v>2.267081950510596</v>
      </c>
      <c r="X11">
        <v>22.27242485887668</v>
      </c>
      <c r="Y11">
        <v>22.27242485887668</v>
      </c>
      <c r="Z11">
        <v>0</v>
      </c>
    </row>
    <row r="12" spans="1:26">
      <c r="A12" t="s">
        <v>14</v>
      </c>
      <c r="B12" t="s">
        <v>197</v>
      </c>
      <c r="C12" t="s">
        <v>203</v>
      </c>
      <c r="D12">
        <v>1040757.9</v>
      </c>
      <c r="E12">
        <v>106791.3776</v>
      </c>
      <c r="F12">
        <v>4.206752598274777</v>
      </c>
      <c r="G12">
        <v>1.435214760320339</v>
      </c>
      <c r="H12">
        <v>0.4476030400537915</v>
      </c>
      <c r="I12">
        <v>5.641967358595116</v>
      </c>
      <c r="J12">
        <v>-1.675982089590672</v>
      </c>
      <c r="K12">
        <v>3.965985269004444</v>
      </c>
      <c r="L12">
        <v>-0.9469986247522116</v>
      </c>
      <c r="M12">
        <v>3.018986644252232</v>
      </c>
      <c r="N12">
        <v>-0.6167058640631025</v>
      </c>
      <c r="O12">
        <v>2.402280780189129</v>
      </c>
      <c r="P12">
        <v>-0.032008212476696</v>
      </c>
      <c r="Q12">
        <v>2.370272567712433</v>
      </c>
      <c r="R12">
        <v>4.311070554454464</v>
      </c>
      <c r="S12">
        <v>97.58023082985966</v>
      </c>
      <c r="T12">
        <v>0.7957242158599037</v>
      </c>
      <c r="U12">
        <v>0.9866759070210868</v>
      </c>
      <c r="V12">
        <v>9.745710968335706</v>
      </c>
      <c r="W12">
        <v>2.370272567712433</v>
      </c>
      <c r="X12">
        <v>23.0999913611003</v>
      </c>
      <c r="Y12">
        <v>23.0999913611003</v>
      </c>
      <c r="Z12">
        <v>0</v>
      </c>
    </row>
    <row r="13" spans="1:26">
      <c r="A13" t="s">
        <v>14</v>
      </c>
      <c r="B13" t="s">
        <v>60</v>
      </c>
      <c r="C13" t="s">
        <v>61</v>
      </c>
      <c r="D13">
        <v>1118557.3374</v>
      </c>
      <c r="E13">
        <v>111865.1366</v>
      </c>
      <c r="F13">
        <v>4.078746120073505</v>
      </c>
      <c r="G13">
        <v>1.449414925629542</v>
      </c>
      <c r="H13">
        <v>0.466649301334242</v>
      </c>
      <c r="I13">
        <v>5.528161045703047</v>
      </c>
      <c r="J13">
        <v>-1.60106964580178</v>
      </c>
      <c r="K13">
        <v>3.927091399901266</v>
      </c>
      <c r="L13">
        <v>-1.129708471572179</v>
      </c>
      <c r="M13">
        <v>2.797382928329088</v>
      </c>
      <c r="N13">
        <v>-0.5708855314331068</v>
      </c>
      <c r="O13">
        <v>2.226497396895982</v>
      </c>
      <c r="P13">
        <v>-0.0344188882525138</v>
      </c>
      <c r="Q13">
        <v>2.192078508643468</v>
      </c>
      <c r="R13">
        <v>4.176330404358078</v>
      </c>
      <c r="S13">
        <v>97.66339645486998</v>
      </c>
      <c r="T13">
        <v>0.7959215645267043</v>
      </c>
      <c r="U13">
        <v>0.984541240290468</v>
      </c>
      <c r="V13">
        <v>9.999159446786928</v>
      </c>
      <c r="W13">
        <v>2.192078508643468</v>
      </c>
      <c r="X13">
        <v>21.91894252780093</v>
      </c>
      <c r="Y13">
        <v>21.91894252780093</v>
      </c>
      <c r="Z13">
        <v>0</v>
      </c>
    </row>
    <row r="14" spans="1:26">
      <c r="A14" t="s">
        <v>14</v>
      </c>
      <c r="B14" t="s">
        <v>198</v>
      </c>
      <c r="C14" t="s">
        <v>204</v>
      </c>
      <c r="D14">
        <v>1186548.4198</v>
      </c>
      <c r="E14">
        <v>117324.957</v>
      </c>
      <c r="F14">
        <v>4.061949954652833</v>
      </c>
      <c r="G14">
        <v>1.393249253392162</v>
      </c>
      <c r="H14">
        <v>0.4768681922777106</v>
      </c>
      <c r="I14">
        <v>5.455199208044996</v>
      </c>
      <c r="J14">
        <v>-1.57585216818642</v>
      </c>
      <c r="K14">
        <v>3.879347039858576</v>
      </c>
      <c r="L14">
        <v>-1.247144638437451</v>
      </c>
      <c r="M14">
        <v>2.632202401421125</v>
      </c>
      <c r="N14">
        <v>-0.5369109168822477</v>
      </c>
      <c r="O14">
        <v>2.095291484538877</v>
      </c>
      <c r="P14">
        <v>-0.0472905269297464</v>
      </c>
      <c r="Q14">
        <v>2.04800095760913</v>
      </c>
      <c r="R14">
        <v>4.15604924361326</v>
      </c>
      <c r="S14">
        <v>97.73584759360028</v>
      </c>
      <c r="T14">
        <v>0.7960221764890232</v>
      </c>
      <c r="U14">
        <v>0.9774300963475951</v>
      </c>
      <c r="V14">
        <v>10.11335056189281</v>
      </c>
      <c r="W14">
        <v>2.04800095760913</v>
      </c>
      <c r="X14">
        <v>20.71215163539331</v>
      </c>
      <c r="Y14">
        <v>20.71215163539331</v>
      </c>
      <c r="Z14">
        <v>-8.881784197001252E-16</v>
      </c>
    </row>
    <row r="15" spans="1:26">
      <c r="A15" t="s">
        <v>14</v>
      </c>
      <c r="B15" t="s">
        <v>199</v>
      </c>
      <c r="C15" t="s">
        <v>205</v>
      </c>
      <c r="D15">
        <v>1303937.3636</v>
      </c>
      <c r="E15">
        <v>123391.7836</v>
      </c>
      <c r="F15">
        <v>3.958021178065734</v>
      </c>
      <c r="G15">
        <v>1.233410319311445</v>
      </c>
      <c r="H15">
        <v>0.5045243110326346</v>
      </c>
      <c r="I15">
        <v>5.191431497377179</v>
      </c>
      <c r="J15">
        <v>-1.509363375067566</v>
      </c>
      <c r="K15">
        <v>3.682068122309614</v>
      </c>
      <c r="L15">
        <v>-1.05400032115469</v>
      </c>
      <c r="M15">
        <v>2.628067801154923</v>
      </c>
      <c r="N15">
        <v>-0.528045302804298</v>
      </c>
      <c r="O15">
        <v>2.100022498350625</v>
      </c>
      <c r="P15">
        <v>-0.0463242343429999</v>
      </c>
      <c r="Q15">
        <v>2.053698264007625</v>
      </c>
      <c r="R15">
        <v>4.055363952096038</v>
      </c>
      <c r="S15">
        <v>97.59965381208283</v>
      </c>
      <c r="T15">
        <v>0.7990747032583235</v>
      </c>
      <c r="U15">
        <v>0.9779410771173246</v>
      </c>
      <c r="V15">
        <v>10.56745696963894</v>
      </c>
      <c r="W15">
        <v>2.053698264007625</v>
      </c>
      <c r="X15">
        <v>21.70236803352277</v>
      </c>
      <c r="Y15">
        <v>21.70236803352277</v>
      </c>
      <c r="Z15">
        <v>0</v>
      </c>
    </row>
    <row r="16" spans="1:26">
      <c r="A16" t="s">
        <v>14</v>
      </c>
      <c r="B16" t="s">
        <v>200</v>
      </c>
      <c r="C16" t="s">
        <v>206</v>
      </c>
      <c r="D16">
        <v>1400421.704</v>
      </c>
      <c r="E16">
        <v>129678.887</v>
      </c>
      <c r="F16">
        <v>3.915324208657081</v>
      </c>
      <c r="G16">
        <v>1.068926163972106</v>
      </c>
      <c r="H16">
        <v>0.503563246689013</v>
      </c>
      <c r="I16">
        <v>4.984250372629187</v>
      </c>
      <c r="J16">
        <v>-1.433725066003404</v>
      </c>
      <c r="K16">
        <v>3.550525306625782</v>
      </c>
      <c r="L16">
        <v>-1.014830601340066</v>
      </c>
      <c r="M16">
        <v>2.535694705285716</v>
      </c>
      <c r="N16">
        <v>-0.5069615801955609</v>
      </c>
      <c r="O16">
        <v>2.028733125090155</v>
      </c>
      <c r="P16">
        <v>-0.0488500712353998</v>
      </c>
      <c r="Q16">
        <v>1.979883053854756</v>
      </c>
      <c r="R16">
        <v>4.012445272430639</v>
      </c>
      <c r="S16">
        <v>97.57950433764483</v>
      </c>
      <c r="T16">
        <v>0.800069945668622</v>
      </c>
      <c r="U16">
        <v>0.9759208983028612</v>
      </c>
      <c r="V16">
        <v>10.79914962564415</v>
      </c>
      <c r="W16">
        <v>1.979883053854756</v>
      </c>
      <c r="X16">
        <v>21.38105333985477</v>
      </c>
      <c r="Y16">
        <v>21.38105333985477</v>
      </c>
      <c r="Z16">
        <v>0</v>
      </c>
    </row>
    <row r="17" spans="1:26">
      <c r="A17" t="s">
        <v>14</v>
      </c>
      <c r="B17" t="s">
        <v>57</v>
      </c>
      <c r="C17" t="s">
        <v>58</v>
      </c>
      <c r="D17">
        <v>1515640.7974</v>
      </c>
      <c r="E17">
        <v>135829.6258</v>
      </c>
      <c r="F17">
        <v>3.916006160682409</v>
      </c>
      <c r="G17">
        <v>0.8997232737065936</v>
      </c>
      <c r="H17">
        <v>0.4580333949778118</v>
      </c>
      <c r="I17">
        <v>4.815729434389004</v>
      </c>
      <c r="J17">
        <v>-1.368997590695232</v>
      </c>
      <c r="K17">
        <v>3.446731843693771</v>
      </c>
      <c r="L17">
        <v>-0.902111768398878</v>
      </c>
      <c r="M17">
        <v>2.544620075294893</v>
      </c>
      <c r="N17">
        <v>-0.5090727310346812</v>
      </c>
      <c r="O17">
        <v>2.035547344260212</v>
      </c>
      <c r="P17">
        <v>-0.051029043380645</v>
      </c>
      <c r="Q17">
        <v>1.984518300879567</v>
      </c>
      <c r="R17">
        <v>4.015938222093594</v>
      </c>
      <c r="S17">
        <v>97.5116135785802</v>
      </c>
      <c r="T17">
        <v>0.7999415567073661</v>
      </c>
      <c r="U17">
        <v>0.9749310456843288</v>
      </c>
      <c r="V17">
        <v>11.15839632534716</v>
      </c>
      <c r="W17">
        <v>1.984518300879567</v>
      </c>
      <c r="X17">
        <v>22.14404171611876</v>
      </c>
      <c r="Y17">
        <v>22.14404171611876</v>
      </c>
      <c r="Z17">
        <v>0</v>
      </c>
    </row>
  </sheetData>
  <autoFilter ref="A1:Z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t="s">
        <v>172</v>
      </c>
      <c r="B1" t="s">
        <v>207</v>
      </c>
      <c r="C1" t="s">
        <v>14</v>
      </c>
      <c r="D1" t="s">
        <v>13</v>
      </c>
      <c r="E1" t="s">
        <v>208</v>
      </c>
      <c r="F1" t="s">
        <v>209</v>
      </c>
      <c r="G1" t="s">
        <v>210</v>
      </c>
    </row>
    <row r="2" spans="1:7">
      <c r="A2" t="s">
        <v>57</v>
      </c>
      <c r="B2" t="s">
        <v>211</v>
      </c>
      <c r="C2">
        <v>3.916006160682409</v>
      </c>
      <c r="D2">
        <v>3.024971127750149</v>
      </c>
      <c r="E2">
        <v>0.8910350329322609</v>
      </c>
      <c r="F2">
        <v>8.127041869232857</v>
      </c>
      <c r="G2" t="s">
        <v>218</v>
      </c>
    </row>
    <row r="3" spans="1:7">
      <c r="A3" t="s">
        <v>57</v>
      </c>
      <c r="B3" t="s">
        <v>212</v>
      </c>
      <c r="C3">
        <v>0.8997232737065936</v>
      </c>
      <c r="D3">
        <v>0.8509264462467094</v>
      </c>
      <c r="E3">
        <v>0.0487968274598841</v>
      </c>
      <c r="F3">
        <v>0.4450710075305854</v>
      </c>
      <c r="G3" t="s">
        <v>218</v>
      </c>
    </row>
    <row r="4" spans="1:7">
      <c r="A4" t="s">
        <v>57</v>
      </c>
      <c r="B4" t="s">
        <v>213</v>
      </c>
      <c r="C4">
        <v>-1.368997590695232</v>
      </c>
      <c r="D4">
        <v>-1.32342788563551</v>
      </c>
      <c r="E4">
        <v>-0.0455697050597221</v>
      </c>
      <c r="F4">
        <v>-0.4156367452469278</v>
      </c>
      <c r="G4" t="s">
        <v>218</v>
      </c>
    </row>
    <row r="5" spans="1:7">
      <c r="A5" t="s">
        <v>57</v>
      </c>
      <c r="B5" t="s">
        <v>214</v>
      </c>
      <c r="C5">
        <v>-0.902111768398878</v>
      </c>
      <c r="D5">
        <v>-0.881912199536848</v>
      </c>
      <c r="E5">
        <v>-0.0201995688620301</v>
      </c>
      <c r="F5">
        <v>-0.1842382575485684</v>
      </c>
      <c r="G5" t="s">
        <v>218</v>
      </c>
    </row>
    <row r="6" spans="1:7">
      <c r="A6" t="s">
        <v>57</v>
      </c>
      <c r="B6" t="s">
        <v>215</v>
      </c>
      <c r="C6">
        <v>0.7798878583670622</v>
      </c>
      <c r="D6">
        <v>0.7999930989640898</v>
      </c>
      <c r="E6">
        <v>-0.0201052405970275</v>
      </c>
      <c r="F6">
        <v>-0.489052086691038</v>
      </c>
      <c r="G6" t="s">
        <v>218</v>
      </c>
    </row>
    <row r="7" spans="1:7">
      <c r="A7" t="s">
        <v>57</v>
      </c>
      <c r="B7" t="s">
        <v>216</v>
      </c>
      <c r="C7">
        <v>11.15839632534716</v>
      </c>
      <c r="D7">
        <v>11.92448182497928</v>
      </c>
      <c r="E7">
        <v>-0.7660854996321138</v>
      </c>
      <c r="F7">
        <v>-1.27543252930524</v>
      </c>
      <c r="G7" t="s">
        <v>218</v>
      </c>
    </row>
    <row r="8" spans="1:7">
      <c r="A8" t="s">
        <v>57</v>
      </c>
      <c r="B8" t="s">
        <v>217</v>
      </c>
      <c r="C8">
        <v>22.14404171611876</v>
      </c>
      <c r="D8">
        <v>15.93628845814709</v>
      </c>
      <c r="E8">
        <v>6.207753257971669</v>
      </c>
      <c r="G8" t="s">
        <v>218</v>
      </c>
    </row>
    <row r="9" spans="1:7">
      <c r="A9" t="s">
        <v>60</v>
      </c>
      <c r="B9" t="s">
        <v>211</v>
      </c>
      <c r="C9">
        <v>4.078746120073505</v>
      </c>
      <c r="D9">
        <v>3.293118220668122</v>
      </c>
      <c r="E9">
        <v>0.7856278994053825</v>
      </c>
      <c r="F9">
        <v>6.708454792045188</v>
      </c>
      <c r="G9" t="s">
        <v>218</v>
      </c>
    </row>
    <row r="10" spans="1:7">
      <c r="A10" t="s">
        <v>60</v>
      </c>
      <c r="B10" t="s">
        <v>212</v>
      </c>
      <c r="C10">
        <v>1.449414925629542</v>
      </c>
      <c r="D10">
        <v>0.8655225938292455</v>
      </c>
      <c r="E10">
        <v>0.5838923318002966</v>
      </c>
      <c r="F10">
        <v>4.985840388648121</v>
      </c>
      <c r="G10" t="s">
        <v>218</v>
      </c>
    </row>
    <row r="11" spans="1:7">
      <c r="A11" t="s">
        <v>60</v>
      </c>
      <c r="B11" t="s">
        <v>213</v>
      </c>
      <c r="C11">
        <v>-1.60106964580178</v>
      </c>
      <c r="D11">
        <v>-1.497966863875203</v>
      </c>
      <c r="E11">
        <v>-0.1031027819265772</v>
      </c>
      <c r="F11">
        <v>-0.880391788545231</v>
      </c>
      <c r="G11" t="s">
        <v>218</v>
      </c>
    </row>
    <row r="12" spans="1:7">
      <c r="A12" t="s">
        <v>60</v>
      </c>
      <c r="B12" t="s">
        <v>214</v>
      </c>
      <c r="C12">
        <v>-1.129708471572179</v>
      </c>
      <c r="D12">
        <v>-0.6959238048931765</v>
      </c>
      <c r="E12">
        <v>-0.433784666679002</v>
      </c>
      <c r="F12">
        <v>-3.70407520927017</v>
      </c>
      <c r="G12" t="s">
        <v>218</v>
      </c>
    </row>
    <row r="13" spans="1:7">
      <c r="A13" t="s">
        <v>60</v>
      </c>
      <c r="B13" t="s">
        <v>215</v>
      </c>
      <c r="C13">
        <v>0.7836176043130511</v>
      </c>
      <c r="D13">
        <v>0.8000859423780357</v>
      </c>
      <c r="E13">
        <v>-0.0164683380649846</v>
      </c>
      <c r="F13">
        <v>-0.42253021843513</v>
      </c>
      <c r="G13" t="s">
        <v>218</v>
      </c>
    </row>
    <row r="14" spans="1:7">
      <c r="A14" t="s">
        <v>60</v>
      </c>
      <c r="B14" t="s">
        <v>216</v>
      </c>
      <c r="C14">
        <v>9.999159446786928</v>
      </c>
      <c r="D14">
        <v>11.55179279911575</v>
      </c>
      <c r="E14">
        <v>-1.552633352328819</v>
      </c>
      <c r="F14">
        <v>-2.927415286472818</v>
      </c>
      <c r="G14" t="s">
        <v>218</v>
      </c>
    </row>
    <row r="15" spans="1:7">
      <c r="A15" t="s">
        <v>60</v>
      </c>
      <c r="B15" t="s">
        <v>217</v>
      </c>
      <c r="C15">
        <v>21.91894252780093</v>
      </c>
      <c r="D15">
        <v>18.15905984983097</v>
      </c>
      <c r="E15">
        <v>3.759882677969959</v>
      </c>
      <c r="G15" t="s">
        <v>218</v>
      </c>
    </row>
  </sheetData>
  <autoFilter ref="A1:G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KPI_comparison</vt:lpstr>
      <vt:lpstr>ROE_DuPont</vt:lpstr>
      <vt:lpstr>ROE_gap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2026-10-24T06:31:25Z</dcterms:created>
  <dcterms:modified xsi:type="dcterms:W3CDTF">2026-10-24T06:31:25Z</dcterms:modified>
</cp:coreProperties>
</file>