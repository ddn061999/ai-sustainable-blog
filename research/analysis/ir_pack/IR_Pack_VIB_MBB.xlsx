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corecard" sheetId="2" r:id="rId2"/>
    <sheet name="ROE_gap" sheetId="3" r:id="rId3"/>
    <sheet name="Market_Valuation" sheetId="4" r:id="rId4"/>
    <sheet name="Scenarios" sheetId="5" r:id="rId5"/>
    <sheet name="Catalysts" sheetId="6" r:id="rId6"/>
    <sheet name="Investor_QA" sheetId="7" r:id="rId7"/>
    <sheet name="KPI_comparison" sheetId="8" r:id="rId8"/>
    <sheet name="ROE_DuPont" sheetId="9" r:id="rId9"/>
    <sheet name="market_metrics" sheetId="10" r:id="rId10"/>
    <sheet name="technicals" sheetId="11" r:id="rId11"/>
    <sheet name="valuation" sheetId="12" r:id="rId12"/>
    <sheet name="scenarios_detail" sheetId="13" r:id="rId13"/>
    <sheet name="quarterly" sheetId="14" r:id="rId14"/>
  </sheets>
  <calcPr calcId="124519" fullCalcOnLoad="1"/>
</workbook>
</file>

<file path=xl/sharedStrings.xml><?xml version="1.0" encoding="utf-8"?>
<sst xmlns="http://schemas.openxmlformats.org/spreadsheetml/2006/main" count="2577" uniqueCount="788">
  <si>
    <t>IR Pack VIB vs MBB</t>
  </si>
  <si>
    <t>As of 24-Oct-2026. Prices at the 23-Oct-2026 close. Fundamentals 2026Q2 (Q3 not yet filed). Refresh after Q3 results.</t>
  </si>
  <si>
    <t>Units: VND bn unless stated. TTM = 2025Q3-2026Q2.</t>
  </si>
  <si>
    <t>Sheets: Scorecard, ROE_gap, Market_Valuation, Scenarios, Catalysts, Investor_QA, then supporting data (KPI_comparison, ROE_DuPont, market_metrics, technicals, valuation, scenarios_detail, quarterly).</t>
  </si>
  <si>
    <t>ROE basis: Scorecard/ROE_gap use our calculation (parent NPAT / avg parent equity); Market_Valuation uses Vietcap's published ROE.</t>
  </si>
  <si>
    <t>Q&amp;A items in [brackets] must be confirmed by management before use.</t>
  </si>
  <si>
    <t>Sources: Vietcap IQ, Vietcap chart API and price board, and dated news links in market/catalysts.md.</t>
  </si>
  <si>
    <t>Metric</t>
  </si>
  <si>
    <t>VIB</t>
  </si>
  <si>
    <t>MBB</t>
  </si>
  <si>
    <t>Edge</t>
  </si>
  <si>
    <t>NPAT-parent Q2 (YoY)</t>
  </si>
  <si>
    <t>NPAT-parent 6M26 (YoY)</t>
  </si>
  <si>
    <t>NPAT-parent TTM (YoY)</t>
  </si>
  <si>
    <t>PPOP 6M26 (YoY)</t>
  </si>
  <si>
    <t>ROE / ROA TTM</t>
  </si>
  <si>
    <t>NIM TTM</t>
  </si>
  <si>
    <t>CIR TTM</t>
  </si>
  <si>
    <t>Credit cost TTM</t>
  </si>
  <si>
    <t>NPL / Group 2</t>
  </si>
  <si>
    <t>LLR coverage</t>
  </si>
  <si>
    <t>CASA</t>
  </si>
  <si>
    <t>Loans / deposits (simple)</t>
  </si>
  <si>
    <t>Loan growth YTD / YoY</t>
  </si>
  <si>
    <t>Equity / assets</t>
  </si>
  <si>
    <t>CAR</t>
  </si>
  <si>
    <t>1,905 (−8.2%)</t>
  </si>
  <si>
    <t>4,147 (+3.3%)</t>
  </si>
  <si>
    <t>7,419 (−1.5%)</t>
  </si>
  <si>
    <t>7,672 (+26.3%)</t>
  </si>
  <si>
    <t>15.9% / 1.34%</t>
  </si>
  <si>
    <t>3.07%</t>
  </si>
  <si>
    <t>34.2%</t>
  </si>
  <si>
    <t>1.29%</t>
  </si>
  <si>
    <t>2.93% / 2.56%</t>
  </si>
  <si>
    <t>43.6%</t>
  </si>
  <si>
    <t>11.8%</t>
  </si>
  <si>
    <t>125.1%</t>
  </si>
  <si>
    <t>+4.0% / +11.5%</t>
  </si>
  <si>
    <t>8.23%</t>
  </si>
  <si>
    <t>&gt;12.4% (AGM, Mar-26; Basel III)</t>
  </si>
  <si>
    <t>8,229 (+40.0%)</t>
  </si>
  <si>
    <t>15,745 (+26.5%)</t>
  </si>
  <si>
    <t>30,078 (+22.7%)</t>
  </si>
  <si>
    <t>27,890 (+17.9%)</t>
  </si>
  <si>
    <t>22.1% / 2.04%</t>
  </si>
  <si>
    <t>4.02%</t>
  </si>
  <si>
    <t>28.4%</t>
  </si>
  <si>
    <t>1.30%</t>
  </si>
  <si>
    <t>1.45% / 0.98%</t>
  </si>
  <si>
    <t>93.6%</t>
  </si>
  <si>
    <t>33.6%</t>
  </si>
  <si>
    <t>127.4%</t>
  </si>
  <si>
    <t>+13.2% / +39.5%</t>
  </si>
  <si>
    <t>9.05%</t>
  </si>
  <si>
    <t>11.02% (FY2025, Vietcap)</t>
  </si>
  <si>
    <t>MBB (growth)</t>
  </si>
  <si>
    <t>Not comparable (different dates)</t>
  </si>
  <si>
    <t>Driver (% of average assets)</t>
  </si>
  <si>
    <t>Contribution</t>
  </si>
  <si>
    <t>Net interest income</t>
  </si>
  <si>
    <t>Non-interest income</t>
  </si>
  <si>
    <t>Opex</t>
  </si>
  <si>
    <t>Provisions</t>
  </si>
  <si>
    <t>Tax and minority retention</t>
  </si>
  <si>
    <t>Leverage (x)</t>
  </si>
  <si>
    <t>3.92%</t>
  </si>
  <si>
    <t>0.90%</t>
  </si>
  <si>
    <t>−1.37%</t>
  </si>
  <si>
    <t>−0.90%</t>
  </si>
  <si>
    <t>0.780</t>
  </si>
  <si>
    <t>11.16</t>
  </si>
  <si>
    <t>3.03%</t>
  </si>
  <si>
    <t>0.85%</t>
  </si>
  <si>
    <t>−1.32%</t>
  </si>
  <si>
    <t>−0.88%</t>
  </si>
  <si>
    <t>0.800</t>
  </si>
  <si>
    <t>11.92</t>
  </si>
  <si>
    <t>+8.13pp</t>
  </si>
  <si>
    <t>+0.45pp</t>
  </si>
  <si>
    <t>−0.42pp</t>
  </si>
  <si>
    <t>−0.18pp</t>
  </si>
  <si>
    <t>−0.49pp</t>
  </si>
  <si>
    <t>−1.28pp</t>
  </si>
  <si>
    <t>VNINDEX</t>
  </si>
  <si>
    <t>Return 3M / YTD / 1Y / 3Y</t>
  </si>
  <si>
    <t>Volatility 1Y / beta 1Y</t>
  </si>
  <si>
    <t>Max drawdown 3Y / current drawdown</t>
  </si>
  <si>
    <t>ADTV 3M (VND bn)</t>
  </si>
  <si>
    <t>Foreign room left (cap)</t>
  </si>
  <si>
    <t>P/B / P/E TTM</t>
  </si>
  <si>
    <t>3Y P/B median (min–max)</t>
  </si>
  <si>
    <t>Implied COE (g = 6%)</t>
  </si>
  <si>
    <t>Justified P/B at COE 14% / g 6%</t>
  </si>
  <si>
    <t>Technicals</t>
  </si>
  <si>
    <t>+6.5% / −7.6% / −16.7% / +24.2%</t>
  </si>
  <si>
    <t>24.1% / 0.82</t>
  </si>
  <si>
    <t>−36.8% / −30.5%</t>
  </si>
  <si>
    <t>74</t>
  </si>
  <si>
    <t>1.14% (4.99%)</t>
  </si>
  <si>
    <t>1.11x / 7.1x</t>
  </si>
  <si>
    <t>1.39 (1.09–1.58)</t>
  </si>
  <si>
    <t>14.7%</t>
  </si>
  <si>
    <t>1.21x → ~15,500 (+9%)</t>
  </si>
  <si>
    <t>Above MA20/50, 1.3% below MA200; RSI 64; S 13,750 / R 14,300–14,600</t>
  </si>
  <si>
    <t>+7.8% / −2.3% / −8.8% / +109.8%</t>
  </si>
  <si>
    <t>26.7% / 0.80</t>
  </si>
  <si>
    <t>−22.4% / −14.8%</t>
  </si>
  <si>
    <t>252</t>
  </si>
  <si>
    <t>0.89% (23.24%)</t>
  </si>
  <si>
    <t>1.27x / 6.6x</t>
  </si>
  <si>
    <t>1.37 (1.23–1.78)</t>
  </si>
  <si>
    <t>17.6% (highest of 8)</t>
  </si>
  <si>
    <t>1.84x → ~28,700 (+44%)</t>
  </si>
  <si>
    <t>Below MA50/200; RSI 53; S 19,700 / R 20,125–20,500</t>
  </si>
  <si>
    <t>+4.4% / −0.6% / +2.5% / +55.1%</t>
  </si>
  <si>
    <t>20.5% / 1.0</t>
  </si>
  <si>
    <t>−18.1% / −8.0%</t>
  </si>
  <si>
    <t>16,626</t>
  </si>
  <si>
    <t>–</t>
  </si>
  <si>
    <t>peer median P/B 1.35x</t>
  </si>
  <si>
    <t>peer ~13.9%</t>
  </si>
  <si>
    <t>Bear</t>
  </si>
  <si>
    <t>Base (no re-rating)</t>
  </si>
  <si>
    <t>Bull</t>
  </si>
  <si>
    <t>10,100 (−22%): ROE 13%, NPL hit, plan missed</t>
  </si>
  <si>
    <t>15,200 (−18%): real-estate hit, NIM &lt;3.9%, ROE 17%</t>
  </si>
  <si>
    <t>15,100 (+13%): ROE 15.5%</t>
  </si>
  <si>
    <t>20,600 (+9%): ROE 19.5% after dilution</t>
  </si>
  <si>
    <t>20,300 (+50%): recoveries plus full quota, COE 14%</t>
  </si>
  <si>
    <t>29,700 (+55%): plan delivered, COE 15% (tail case)</t>
  </si>
  <si>
    <t>Date</t>
  </si>
  <si>
    <t>Bank</t>
  </si>
  <si>
    <t>Event</t>
  </si>
  <si>
    <t>~27–29 Oct 2026</t>
  </si>
  <si>
    <t>Q4 2026</t>
  </si>
  <si>
    <t>Pending</t>
  </si>
  <si>
    <t>Mar / Jun / Sep 2027</t>
  </si>
  <si>
    <t>Mar–Apr 2027</t>
  </si>
  <si>
    <t>Ongoing</t>
  </si>
  <si>
    <t>Both</t>
  </si>
  <si>
    <t>Sector</t>
  </si>
  <si>
    <t>Q3 2026 results. MBS forecasts VIB Q3 PBT at ~VND3,000bn (+48%). MBB needs only +4.6% YoY in H2 to meet its plan</t>
  </si>
  <si>
    <t>Credit catch-up from 4.0% H1 growth toward a 12–14% quota; VND2–3tn of write-off recoveries guided</t>
  </si>
  <si>
    <t>Listing of new shares: VIB +331m, MBB ~805m</t>
  </si>
  <si>
    <t>FTSE Secondary EM phase-in (20% / 35% / 35%). Neither bank is on ACBS's list of expected inclusions</t>
  </si>
  <si>
    <t>AGMs: VIB foreign cap and strategic partner; MBB further capital raising</t>
  </si>
  <si>
    <t>CD rates at 7.2–7.5%; system credit +11.6% YTD against a ~15% target</t>
  </si>
  <si>
    <t>No</t>
  </si>
  <si>
    <t>Theme</t>
  </si>
  <si>
    <t>Persona</t>
  </si>
  <si>
    <t>Difficulty</t>
  </si>
  <si>
    <t>Answerer</t>
  </si>
  <si>
    <t>Question</t>
  </si>
  <si>
    <t>1. Acknowledge</t>
  </si>
  <si>
    <t>2. Data point</t>
  </si>
  <si>
    <t>3. Forward-looking</t>
  </si>
  <si>
    <t>Earnings quality</t>
  </si>
  <si>
    <t>Earnings quality – ambush</t>
  </si>
  <si>
    <t>NIM / Funding</t>
  </si>
  <si>
    <t>Peer benchmarking</t>
  </si>
  <si>
    <t>Asset quality – ambush</t>
  </si>
  <si>
    <t>Growth vs risk</t>
  </si>
  <si>
    <t>Shareholder value</t>
  </si>
  <si>
    <t>Valuation / Risk</t>
  </si>
  <si>
    <t>Capital / Dilution</t>
  </si>
  <si>
    <t>Growth / Asset quality</t>
  </si>
  <si>
    <t>Revenue mix – ambush</t>
  </si>
  <si>
    <t>Foreign ownership</t>
  </si>
  <si>
    <t>Macro / Rates</t>
  </si>
  <si>
    <t>Sell-side analyst</t>
  </si>
  <si>
    <t>Foreign fund</t>
  </si>
  <si>
    <t>Peer analyst – TCBC/SSI</t>
  </si>
  <si>
    <t>Foreign fund / rating agency</t>
  </si>
  <si>
    <t>Securities house – SSI/HSC</t>
  </si>
  <si>
    <t>Retail shareholder / foreign fund</t>
  </si>
  <si>
    <t>Securities house</t>
  </si>
  <si>
    <t>Mass investor</t>
  </si>
  <si>
    <t>Very Hard</t>
  </si>
  <si>
    <t>Hard</t>
  </si>
  <si>
    <t>CEO / CFO</t>
  </si>
  <si>
    <t>Head of Treasury / CFO</t>
  </si>
  <si>
    <t>Head of Treasury</t>
  </si>
  <si>
    <t>CEO</t>
  </si>
  <si>
    <t>CRO</t>
  </si>
  <si>
    <t>CEO / CRO</t>
  </si>
  <si>
    <t>CEO / IR</t>
  </si>
  <si>
    <t>CFO</t>
  </si>
  <si>
    <t>H1 PBT grew only 3%, and Q2 NPAT fell 8%. Your VND11,550bn plan needs H2 PBT +56% YoY, and you've guided VND2–3tn of write-off recoveries. Strip out the recoveries and the one-off fees: what is core PBT growth, and will you revise the plan?</t>
  </si>
  <si>
    <t>FX and investment securities lost VND958bn in 6M26, and fees fell from 1,989 in Q1 to 1,075 in Q2. What caused the losses, and what is the sustainable quarterly fee run-rate?</t>
  </si>
  <si>
    <t>NIM fell 0.25pp to 3.07% and CASA fell to 11.8%, the lowest since 2021. In Q2, interest expense grew 53% against 33% for interest income. With CDs still at 7.2–7.5%, why won't NIM keep falling?</t>
  </si>
  <si>
    <t>MBB's ROE is about 6pp higher than yours, and our breakdown attributes 8pp of that to net interest income per unit of assets. Your costs and credit costs are in line with MBB's. Isn't this a structural franchise gap that a cost programme can't close?</t>
  </si>
  <si>
    <t>Reserves cover only 43.6% of NPLs, the lowest of 8 peers. Retail NPL is 4.3%, and NPL plus Group 2 is 5.5%. Why pay a 9% cash dividend and 9.5% bonus shares before rebuilding coverage?</t>
  </si>
  <si>
    <t>Credit grew only 4.0% in H1 against a 12–14% quota. If you rush to catch up in Q4 while retail NPL is 4.3%, aren't you buying growth at the wrong point in the cycle?</t>
  </si>
  <si>
    <t>VIB is last of 8 banks over 1 year (−16.7%) and sits 30% below its peak. The foreign cap was cut to 4.99% and only 1.14% of room is left. Liquidity is down to VND74bn a day, and 331m new shares are waiting to list. What is the plan for shareholders?</t>
  </si>
  <si>
    <t>At 6.6x P/E and 20.7% ROE, your price implies a 17.6% cost of equity, the highest of 8 banks. Is the market discounting your real-estate exposure? Give us the numbers.</t>
  </si>
  <si>
    <t>Your share count rises about 25% in 2026 from the 15% stock dividend and the 10:1 rights issue at VND10,000, against a share price of 19,800. Leverage still went from 10.0x to 11.2x. What ROE do you target on the enlarged equity, and is more issuance coming?</t>
  </si>
  <si>
    <t>Loans grew 39.5% YoY and total assets jumped 21.6% in 4Q25 alone. Credit is up 13.2% YTD against a system target of ~15%. Is the quota exhausted, and when does this growth show up in NPLs?</t>
  </si>
  <si>
    <t>In Q2, interest expense grew 96% YoY against 61% for interest income, and CASA fell 3.3pp to 33.6%. Q2 NIM of 4.16% looks peak-ish. How does NIM hold if deposit rates stay up?</t>
  </si>
  <si>
    <t>Non-interest income fell 28.8% in 6M, and FX and securities income collapsed from VND2,367bn to VND109bn. Is MBB now a pure NII story?</t>
  </si>
  <si>
    <t>You have 0.89% of foreign room left under a 23.24% cap, and you are not on the FTSE inclusion list. ACB, STB and VCB use 30%. Will you raise the cap?</t>
  </si>
  <si>
    <t>Deposit rates have barely moved since September, while CDs pay up to 9% at some joint-stock banks and system credit is +11.6% YTD. What is your rate outlook for Q4 2026 and 2027, and how sensitive is your NIM to a 50bp rise in funding cost?</t>
  </si>
  <si>
    <t>We understand the concern about earnings quality, so we'll separate core earnings from recoveries in our disclosures.</t>
  </si>
  <si>
    <t>Fair challenge. Q1 fees included one-off items, and we don't ask investors to annualise them.</t>
  </si>
  <si>
    <t>Funding cost is the main pressure on our ROE today, and we're addressing it directly.</t>
  </si>
  <si>
    <t>We agree on the diagnosis: the gap is in funding and yield, not efficiency.</t>
  </si>
  <si>
    <t>Coverage is a fair question, so here is the full picture.</t>
  </si>
  <si>
    <t>Our H1 caution was deliberate; we prioritised quality over the quota.</t>
  </si>
  <si>
    <t>We hear the frustration. The share price reflects the ROE dip, and that is the problem we are solving.</t>
  </si>
  <si>
    <t>We see the same gap, and we think disclosure is the way to close it.</t>
  </si>
  <si>
    <t>The capital raise funds growth that already earns strong returns.</t>
  </si>
  <si>
    <t>Fast growth always deserves scrutiny, and we monitor new-vintage performance closely.</t>
  </si>
  <si>
    <t>Funding costs are rising for the whole sector, and CASA is our biggest defence.</t>
  </si>
  <si>
    <t>The decline is concentrated in market-driven lines, not in client fees.</t>
  </si>
  <si>
    <t>Foreign demand is clearly there: room has almost run out.</t>
  </si>
  <si>
    <t>We plan on rates staying broadly stable through year-end.</t>
  </si>
  <si>
    <t>The core engine is improving: 6M PPOP grew 26.3% YoY, opex fell 2.4% and CIR fell 5.8pp to 31.7%. The H1 shortfall came from provisions, which rose 135% while we built buffers.</t>
  </si>
  <si>
    <t>Q2 fees of VND1,075bn are the cleaner base. [Explain the treasury loss: mark-to-market on bonds as yields rose, or hedging cost.]</t>
  </si>
  <si>
    <t>We have improved the funding balance: deposits grew 7.8% YTD against 4.0% for loans, and we are building a USD1bn medium-term funding pipeline, with USD500m highly advanced (Vietcap analyst note, 7-Aug-26).</t>
  </si>
  <si>
    <t>Our opex per unit of assets (1.32%) is already slightly *below* MBB's (1.37%), and our credit cost matches theirs (1.29% vs 1.30%). That means every basis point of margin we recover goes almost entirely to profit.</t>
  </si>
  <si>
    <t>Headline NPL fell 0.63pp YoY and Group 2 fell 0.34pp. Our book is predominantly secured retail, so the loss-given-default profile differs from unsecured lenders. [Confirm the collateral and LTV data before citing it.] Our capital is solid: CAR above 12.4% under Basel III, completed per the March 2026 AGM.</t>
  </si>
  <si>
    <t>We have room under the quota, and the new lending is focused on [segments to confirm: secured mortgage, SME supply chain, corporate].</t>
  </si>
  <si>
    <t>At 1.11x P/B, against a 3Y median of 1.39x, the market prices us on ROE rather than on extra risk: our implied COE is 14.7% against a peer median of ~13.9%. Restoring ROE is therefore the most direct route to re-rating.</t>
  </si>
  <si>
    <t>The asset-quality data supports a lower risk premium: NPL is 1.45%, Group 2 is 0.98%, coverage is 93.6%, and the 6M credit cost fell 0.55pp to 1.35%.</t>
  </si>
  <si>
    <t>TTM ROE is 22.1% (parent, our calculation), driven by core NII rather than leverage. The equity raise lifts the buffer from a CAR of 11.02% at FY2025.</t>
  </si>
  <si>
    <t>Credit cost fell even as the book grew, and coverage of 93.6% gives a substantial buffer.</t>
  </si>
  <si>
    <t>CASA of 33.6% is about three times VIB's. TTM NIM is 4.02%, 0.95pp above VIB.</t>
  </si>
  <si>
    <t>[Confirm: the trend in core service fees, separated from treasury income.]</t>
  </si>
  <si>
    <t>At current turnover, the remaining room is about 7 days of trading.</t>
  </si>
  <si>
    <t>[Insert the bank's NIM sensitivity per 50bp, from ALCO.]</t>
  </si>
  <si>
    <t>[Confirm: the Q3 core PBT figure, the recovery amount booked, and whether the plan is reaffirmed or revised.] We will report recoveries separately each quarter so investors can value the core run-rate.</t>
  </si>
  <si>
    <t>[Confirm: the guided fee run-rate and the treasury book duration and hedging policy.]</t>
  </si>
  <si>
    <t>[Confirm: the NIM guidance range for Q4 and 2027, and the CASA initiatives, such as payroll and digital transaction accounts.] Our aim is to stabilise NIM around current levels rather than chase volume with expensive funding.</t>
  </si>
  <si>
    <t>[Confirm: the 2027 ROE ambition and margin levers, such as CASA, the retail-SME mix and card yields.] On our numbers, each 1pp of ROE adds about 10% to the bank's value, so this is our primary focus.</t>
  </si>
  <si>
    <t>[Confirm: the coverage target and timeline, and the 2026 retail NPL target.] We raised provisions 135% in H1 and intend to keep building coverage alongside dividends.</t>
  </si>
  <si>
    <t>[Confirm: the full-year credit growth expectation and the risk-appetite guardrails.] We will not use the full quota if risk-adjusted returns aren't there.</t>
  </si>
  <si>
    <t>[Confirm: the status of the strategic partner search and of restoring the foreign cap, the listing timetable for new shares, and the dividend policy for 2027.]</t>
  </si>
  <si>
    <t>[Confirm and disclose: real-estate and developer exposure as a % of loans, corporate bond holdings, and compliance with SBV real-estate credit caps.]</t>
  </si>
  <si>
    <t>[Confirm: the post-raise ROE target, the CAR after the rights issue, and the private placement of up to 200m shares.]</t>
  </si>
  <si>
    <t>[Confirm: what drove the 4Q25 balance-sheet jump, the remaining quota headroom, and how new vintages are performing.]</t>
  </si>
  <si>
    <t>[Confirm: the NIM guidance range and the outlook for deposit pricing.]</t>
  </si>
  <si>
    <t>[Confirm: the outlook for treasury income and for the subsidiaries' contribution.]</t>
  </si>
  <si>
    <t>[Confirm: whether the AGM 2027 agenda includes changing the foreign cap.]</t>
  </si>
  <si>
    <t>[Confirm: the funding mix strategy, covering CASA, valuable papers and offshore funding.]</t>
  </si>
  <si>
    <t>ticker</t>
  </si>
  <si>
    <t>metric</t>
  </si>
  <si>
    <t>basis</t>
  </si>
  <si>
    <t>period</t>
  </si>
  <si>
    <t>value</t>
  </si>
  <si>
    <t>prior_period</t>
  </si>
  <si>
    <t>prior_value</t>
  </si>
  <si>
    <t>change</t>
  </si>
  <si>
    <t>change_unit</t>
  </si>
  <si>
    <t>unit</t>
  </si>
  <si>
    <t>formula</t>
  </si>
  <si>
    <t>excel_equiv</t>
  </si>
  <si>
    <t>source</t>
  </si>
  <si>
    <t>NII</t>
  </si>
  <si>
    <t>Fee</t>
  </si>
  <si>
    <t>NonII</t>
  </si>
  <si>
    <t>TOI</t>
  </si>
  <si>
    <t>PPOP</t>
  </si>
  <si>
    <t>Prov</t>
  </si>
  <si>
    <t>PBT</t>
  </si>
  <si>
    <t>NPAT</t>
  </si>
  <si>
    <t>NPAT_parent</t>
  </si>
  <si>
    <t>NIM_%</t>
  </si>
  <si>
    <t>CIR_%</t>
  </si>
  <si>
    <t>CreditCost_%</t>
  </si>
  <si>
    <t>ROE_%</t>
  </si>
  <si>
    <t>ROE_total_equity_%</t>
  </si>
  <si>
    <t>ROA_%</t>
  </si>
  <si>
    <t>EffTax_%</t>
  </si>
  <si>
    <t>Fee_share_TOI_%</t>
  </si>
  <si>
    <t>NPL_%</t>
  </si>
  <si>
    <t>Group2_%</t>
  </si>
  <si>
    <t>LLR_cov_%</t>
  </si>
  <si>
    <t>CASA_%</t>
  </si>
  <si>
    <t>CASA_broad_%</t>
  </si>
  <si>
    <t>LDR_simple_%</t>
  </si>
  <si>
    <t>EqA_%</t>
  </si>
  <si>
    <t>Loan_ytd_%</t>
  </si>
  <si>
    <t>Deposit_ytd_%</t>
  </si>
  <si>
    <t>Loan_yoy_%</t>
  </si>
  <si>
    <t>Deposit_yoy_%</t>
  </si>
  <si>
    <t>BVPS_charter</t>
  </si>
  <si>
    <t>BVPS_parent_charter</t>
  </si>
  <si>
    <t>Loans</t>
  </si>
  <si>
    <t>Deposits</t>
  </si>
  <si>
    <t>Assets</t>
  </si>
  <si>
    <t>Equity</t>
  </si>
  <si>
    <t>Equity_parent</t>
  </si>
  <si>
    <t>Bonds</t>
  </si>
  <si>
    <t>BVPS_parent_latest_shares</t>
  </si>
  <si>
    <t>Quarter</t>
  </si>
  <si>
    <t>TTM</t>
  </si>
  <si>
    <t>6M YTD</t>
  </si>
  <si>
    <t>Period-end</t>
  </si>
  <si>
    <t>2026Q2</t>
  </si>
  <si>
    <t>2025Q3-2026Q2</t>
  </si>
  <si>
    <t>2026Q1-2026Q2</t>
  </si>
  <si>
    <t>2025Q2</t>
  </si>
  <si>
    <t>2024Q3-2025Q2</t>
  </si>
  <si>
    <t>2025Q1-2025Q2</t>
  </si>
  <si>
    <t>% YoY</t>
  </si>
  <si>
    <t>pp</t>
  </si>
  <si>
    <t>VND</t>
  </si>
  <si>
    <t>VND bn</t>
  </si>
  <si>
    <t>%</t>
  </si>
  <si>
    <t>quarterly NII</t>
  </si>
  <si>
    <t>quarterly Fee</t>
  </si>
  <si>
    <t>quarterly NonII</t>
  </si>
  <si>
    <t>quarterly TOI</t>
  </si>
  <si>
    <t>quarterly Opex</t>
  </si>
  <si>
    <t>quarterly PPOP</t>
  </si>
  <si>
    <t>quarterly Prov</t>
  </si>
  <si>
    <t>quarterly PBT</t>
  </si>
  <si>
    <t>quarterly NPAT</t>
  </si>
  <si>
    <t>quarterly NPAT_parent</t>
  </si>
  <si>
    <t>NII x4 / avg IEA (average of 2 quarter-end balances); IEA=SBV balances+interbank balances &amp; loans (gross)+trading sec (gross)+customer loans (gross)+debt buying (gross)+AFS+HTM</t>
  </si>
  <si>
    <t>-Opex / TOI</t>
  </si>
  <si>
    <t>-Provision x4 / avg gross customer loans (average of 2 quarter-end balances)</t>
  </si>
  <si>
    <t>NPAT attributable to parent x4 / avg parent equity (bsa78 - bsa210) (average of 2 quarter-end balances)</t>
  </si>
  <si>
    <t>NPAT x4 / avg total equity incl. MI (average of 2 quarter-end balances) [VIB-file definition]</t>
  </si>
  <si>
    <t>NPAT x4 / avg total assets (average of 2 quarter-end balances)</t>
  </si>
  <si>
    <t>-Tax / PBT</t>
  </si>
  <si>
    <t>Net fee income / TOI</t>
  </si>
  <si>
    <t>sum of quarterly NII over 4Q</t>
  </si>
  <si>
    <t>sum of quarterly Fee over 4Q</t>
  </si>
  <si>
    <t>sum of quarterly NonII over 4Q</t>
  </si>
  <si>
    <t>sum of quarterly TOI over 4Q</t>
  </si>
  <si>
    <t>sum of quarterly Opex over 4Q</t>
  </si>
  <si>
    <t>sum of quarterly PPOP over 4Q</t>
  </si>
  <si>
    <t>sum of quarterly Prov over 4Q</t>
  </si>
  <si>
    <t>sum of quarterly PBT over 4Q</t>
  </si>
  <si>
    <t>sum of quarterly NPAT over 4Q</t>
  </si>
  <si>
    <t>sum of quarterly NPAT_parent over 4Q</t>
  </si>
  <si>
    <t>NII x1 / avg IEA (average of 5 quarter-end balances); IEA=SBV balances+interbank balances &amp; loans (gross)+trading sec (gross)+customer loans (gross)+debt buying (gross)+AFS+HTM</t>
  </si>
  <si>
    <t>-Provision x1 / avg gross customer loans (average of 5 quarter-end balances)</t>
  </si>
  <si>
    <t>NPAT attributable to parent x1 / avg parent equity (bsa78 - bsa210) (average of 5 quarter-end balances)</t>
  </si>
  <si>
    <t>NPAT x1 / avg total equity incl. MI (average of 5 quarter-end balances) [VIB-file definition]</t>
  </si>
  <si>
    <t>NPAT x1 / avg total assets (average of 5 quarter-end balances)</t>
  </si>
  <si>
    <t>sum of quarterly NII over 2Q</t>
  </si>
  <si>
    <t>sum of quarterly Fee over 2Q</t>
  </si>
  <si>
    <t>sum of quarterly NonII over 2Q</t>
  </si>
  <si>
    <t>sum of quarterly TOI over 2Q</t>
  </si>
  <si>
    <t>sum of quarterly Opex over 2Q</t>
  </si>
  <si>
    <t>sum of quarterly PPOP over 2Q</t>
  </si>
  <si>
    <t>sum of quarterly Prov over 2Q</t>
  </si>
  <si>
    <t>sum of quarterly PBT over 2Q</t>
  </si>
  <si>
    <t>sum of quarterly NPAT over 2Q</t>
  </si>
  <si>
    <t>sum of quarterly NPAT_parent over 2Q</t>
  </si>
  <si>
    <t>NII x2 / avg IEA (average of 3 quarter-end balances); IEA=SBV balances+interbank balances &amp; loans (gross)+trading sec (gross)+customer loans (gross)+debt buying (gross)+AFS+HTM</t>
  </si>
  <si>
    <t>-Provision x2 / avg gross customer loans (average of 3 quarter-end balances)</t>
  </si>
  <si>
    <t>NPAT attributable to parent x2 / avg parent equity (bsa78 - bsa210) (average of 3 quarter-end balances)</t>
  </si>
  <si>
    <t>NPAT x2 / avg total equity incl. MI (average of 3 quarter-end balances) [VIB-file definition]</t>
  </si>
  <si>
    <t>NPAT x2 / avg total assets (average of 3 quarter-end balances)</t>
  </si>
  <si>
    <t>(Group3+4+5) / total graded loans</t>
  </si>
  <si>
    <t>Group 2 (special mention) / total graded loans</t>
  </si>
  <si>
    <t>Customer-loan loss reserve / NPL (Group 3-5)</t>
  </si>
  <si>
    <t>Current (demand) deposits / customer deposits [VIB-file definition]</t>
  </si>
  <si>
    <t>(Current + margin + special-purpose deposits) / customer deposits [matches Vietcap casaRatio]</t>
  </si>
  <si>
    <t>Gross customer loans / customer deposits (NOT the SBV Circular 22 regulatory LDR)</t>
  </si>
  <si>
    <t>Total equity (incl. MI) / total assets</t>
  </si>
  <si>
    <t>Gross loans period-end / prior Dec-end - 1</t>
  </si>
  <si>
    <t>Customer deposits period-end / prior Dec-end - 1</t>
  </si>
  <si>
    <t>Gross loans / same quarter-end prior year - 1</t>
  </si>
  <si>
    <t>Customer deposits / same quarter-end prior year - 1</t>
  </si>
  <si>
    <t>Total equity / (charter capital / 10,000 VND par) [VIB-file definition]</t>
  </si>
  <si>
    <t>Parent equity / (charter capital / 10,000)</t>
  </si>
  <si>
    <t>period-end Loans</t>
  </si>
  <si>
    <t>period-end Deposits</t>
  </si>
  <si>
    <t>period-end Assets</t>
  </si>
  <si>
    <t>period-end Equity</t>
  </si>
  <si>
    <t>period-end Equity_parent</t>
  </si>
  <si>
    <t>period-end Bonds</t>
  </si>
  <si>
    <t>Parent equity 2026Q2 / shares 3,735.4m (Vietcap stats numberOfSharesMktCap, 2026Q2 row; exceeds charter/10,000 -&gt; post-period share issuance)</t>
  </si>
  <si>
    <t>Parent equity 2026Q2 / shares 10,068.7m (Vietcap stats numberOfSharesMktCap, 2026Q2 row; exceeds charter/10,000 -&gt; post-period share issuance)</t>
  </si>
  <si>
    <t>fundamentals_VIB_MBB_quarterly.csv (Vietcap IQ raw/{T}_IS|BS|NOTE.json): isb27</t>
  </si>
  <si>
    <t>fundamentals_VIB_MBB_quarterly.csv (Vietcap IQ raw/{T}_IS|BS|NOTE.json): isb30</t>
  </si>
  <si>
    <t>fundamentals_VIB_MBB_quarterly.csv (Vietcap IQ raw/{T}_IS|BS|NOTE.json): isb38-isb27</t>
  </si>
  <si>
    <t>fundamentals_VIB_MBB_quarterly.csv (Vietcap IQ raw/{T}_IS|BS|NOTE.json): isb38</t>
  </si>
  <si>
    <t>fundamentals_VIB_MBB_quarterly.csv (Vietcap IQ raw/{T}_IS|BS|NOTE.json): isb39</t>
  </si>
  <si>
    <t>fundamentals_VIB_MBB_quarterly.csv (Vietcap IQ raw/{T}_IS|BS|NOTE.json): isb40</t>
  </si>
  <si>
    <t>fundamentals_VIB_MBB_quarterly.csv (Vietcap IQ raw/{T}_IS|BS|NOTE.json): isb41</t>
  </si>
  <si>
    <t>fundamentals_VIB_MBB_quarterly.csv (Vietcap IQ raw/{T}_IS|BS|NOTE.json): isa16</t>
  </si>
  <si>
    <t>fundamentals_VIB_MBB_quarterly.csv (Vietcap IQ raw/{T}_IS|BS|NOTE.json): isa20</t>
  </si>
  <si>
    <t>fundamentals_VIB_MBB_quarterly.csv (Vietcap IQ raw/{T}_IS|BS|NOTE.json): isa22</t>
  </si>
  <si>
    <t>fundamentals_VIB_MBB_quarterly.csv (Vietcap IQ raw/{T}_IS|BS|NOTE.json): isb27; bsb97+bsb258+bsb259+bsb100+bsb104+bsb262+bsb107+bsb108</t>
  </si>
  <si>
    <t>fundamentals_VIB_MBB_quarterly.csv (Vietcap IQ raw/{T}_IS|BS|NOTE.json): isb39, isb38</t>
  </si>
  <si>
    <t>fundamentals_VIB_MBB_quarterly.csv (Vietcap IQ raw/{T}_IS|BS|NOTE.json): isb41, bsb104</t>
  </si>
  <si>
    <t>fundamentals_VIB_MBB_quarterly.csv (Vietcap IQ raw/{T}_IS|BS|NOTE.json): isa22, bsa78, bsa210</t>
  </si>
  <si>
    <t>fundamentals_VIB_MBB_quarterly.csv (Vietcap IQ raw/{T}_IS|BS|NOTE.json): isa20, bsa78</t>
  </si>
  <si>
    <t>fundamentals_VIB_MBB_quarterly.csv (Vietcap IQ raw/{T}_IS|BS|NOTE.json): isa20, bsa53</t>
  </si>
  <si>
    <t>fundamentals_VIB_MBB_quarterly.csv (Vietcap IQ raw/{T}_IS|BS|NOTE.json): isa19, isa16</t>
  </si>
  <si>
    <t>fundamentals_VIB_MBB_quarterly.csv (Vietcap IQ raw/{T}_IS|BS|NOTE.json): isb30, isb38</t>
  </si>
  <si>
    <t>fundamentals_VIB_MBB_quarterly.csv (Vietcap IQ raw/{T}_IS|BS|NOTE.json): nob42,nob43,nob44,nob39</t>
  </si>
  <si>
    <t>fundamentals_VIB_MBB_quarterly.csv (Vietcap IQ raw/{T}_IS|BS|NOTE.json): nob41,nob39</t>
  </si>
  <si>
    <t>fundamentals_VIB_MBB_quarterly.csv (Vietcap IQ raw/{T}_IS|BS|NOTE.json): bsb105; nob42-44</t>
  </si>
  <si>
    <t>fundamentals_VIB_MBB_quarterly.csv (Vietcap IQ raw/{T}_IS|BS|NOTE.json): nob66,nob65</t>
  </si>
  <si>
    <t>fundamentals_VIB_MBB_quarterly.csv (Vietcap IQ raw/{T}_IS|BS|NOTE.json): nob66,nob69,nob70,nob65</t>
  </si>
  <si>
    <t>fundamentals_VIB_MBB_quarterly.csv (Vietcap IQ raw/{T}_IS|BS|NOTE.json): bsb104,bsb113</t>
  </si>
  <si>
    <t>fundamentals_VIB_MBB_quarterly.csv (Vietcap IQ raw/{T}_IS|BS|NOTE.json): bsa78,bsa53</t>
  </si>
  <si>
    <t>fundamentals_VIB_MBB_quarterly.csv (Vietcap IQ raw/{T}_IS|BS|NOTE.json): bsb104</t>
  </si>
  <si>
    <t>fundamentals_VIB_MBB_quarterly.csv (Vietcap IQ raw/{T}_IS|BS|NOTE.json): bsb113</t>
  </si>
  <si>
    <t>fundamentals_VIB_MBB_quarterly.csv (Vietcap IQ raw/{T}_IS|BS|NOTE.json): bsa78,bsa80</t>
  </si>
  <si>
    <t>fundamentals_VIB_MBB_quarterly.csv (Vietcap IQ raw/{T}_IS|BS|NOTE.json): bsa78,bsa210,bsa80</t>
  </si>
  <si>
    <t>fundamentals_VIB_MBB_quarterly.csv (Vietcap IQ raw/{T}_IS|BS|NOTE.json): bsa53</t>
  </si>
  <si>
    <t>fundamentals_VIB_MBB_quarterly.csv (Vietcap IQ raw/{T}_IS|BS|NOTE.json): bsa78</t>
  </si>
  <si>
    <t>fundamentals_VIB_MBB_quarterly.csv (Vietcap IQ raw/{T}_IS|BS|NOTE.json): bsa78-bsa210</t>
  </si>
  <si>
    <t>fundamentals_VIB_MBB_quarterly.csv (Vietcap IQ raw/{T}_IS|BS|NOTE.json): bsb116</t>
  </si>
  <si>
    <t>raw/VIB_stats.json numberOfSharesMktCap; bsa78-bsa210</t>
  </si>
  <si>
    <t>raw/MBB_stats.json numberOfSharesMktCap; bsa78-bsa210</t>
  </si>
  <si>
    <t>TTM_end</t>
  </si>
  <si>
    <t>TTM_window</t>
  </si>
  <si>
    <t>avg_assets_bn</t>
  </si>
  <si>
    <t>avg_parent_equity_bn</t>
  </si>
  <si>
    <t>NII/avgA_%</t>
  </si>
  <si>
    <t>NonII/avgA_%</t>
  </si>
  <si>
    <t>Fee_memo/avgA_%</t>
  </si>
  <si>
    <t>TOI/avgA_%</t>
  </si>
  <si>
    <t>Opex/avgA_%</t>
  </si>
  <si>
    <t>PPOP/avgA_%</t>
  </si>
  <si>
    <t>Prov/avgA_%</t>
  </si>
  <si>
    <t>PBT/avgA_%</t>
  </si>
  <si>
    <t>Tax/avgA_%</t>
  </si>
  <si>
    <t>NPAT/avgA_%</t>
  </si>
  <si>
    <t>MI/avgA_%</t>
  </si>
  <si>
    <t>NPAT_parent/avgA_%</t>
  </si>
  <si>
    <t>IEA/avgA_%</t>
  </si>
  <si>
    <t>tax_burden_NPAT/PBT</t>
  </si>
  <si>
    <t>MI_retention_parent/NPAT</t>
  </si>
  <si>
    <t>leverage_avgA/avgParentE_x</t>
  </si>
  <si>
    <t>ROA_parent_%</t>
  </si>
  <si>
    <t>ROE_direct_%</t>
  </si>
  <si>
    <t>chk_PBT_sum_components</t>
  </si>
  <si>
    <t>2024Q3</t>
  </si>
  <si>
    <t>2024Q4</t>
  </si>
  <si>
    <t>2025Q1</t>
  </si>
  <si>
    <t>2025Q3</t>
  </si>
  <si>
    <t>2025Q4</t>
  </si>
  <si>
    <t>2026Q1</t>
  </si>
  <si>
    <t>2023Q4-2024Q3</t>
  </si>
  <si>
    <t>2024Q1-2024Q4</t>
  </si>
  <si>
    <t>2024Q2-2025Q1</t>
  </si>
  <si>
    <t>2024Q4-2025Q3</t>
  </si>
  <si>
    <t>2025Q1-2025Q4</t>
  </si>
  <si>
    <t>2025Q2-2026Q1</t>
  </si>
  <si>
    <t>as_of</t>
  </si>
  <si>
    <t>close</t>
  </si>
  <si>
    <t>ret_1M</t>
  </si>
  <si>
    <t>ret_3M</t>
  </si>
  <si>
    <t>ret_6M</t>
  </si>
  <si>
    <t>ret_1Y</t>
  </si>
  <si>
    <t>ret_3Y</t>
  </si>
  <si>
    <t>ret_YTD</t>
  </si>
  <si>
    <t>CAGR_3Y</t>
  </si>
  <si>
    <t>vol_ann_1Y</t>
  </si>
  <si>
    <t>beta_1Y</t>
  </si>
  <si>
    <t>corr_1Y</t>
  </si>
  <si>
    <t>sharpe_1Y</t>
  </si>
  <si>
    <t>sortino_1Y</t>
  </si>
  <si>
    <t>vol_ann_3Y</t>
  </si>
  <si>
    <t>beta_3Y</t>
  </si>
  <si>
    <t>corr_3Y</t>
  </si>
  <si>
    <t>sharpe_3Y</t>
  </si>
  <si>
    <t>sortino_3Y</t>
  </si>
  <si>
    <t>maxDD_3Y</t>
  </si>
  <si>
    <t>maxDD_peak_date</t>
  </si>
  <si>
    <t>maxDD_trough_date</t>
  </si>
  <si>
    <t>currDD_from_3Y_peak</t>
  </si>
  <si>
    <t>peak_3Y</t>
  </si>
  <si>
    <t>peak_3Y_date</t>
  </si>
  <si>
    <t>vol60_ann_now</t>
  </si>
  <si>
    <t>ADTV_3M_VNDbn</t>
  </si>
  <si>
    <t>ADTV_1Y_VNDbn</t>
  </si>
  <si>
    <t>shares_m</t>
  </si>
  <si>
    <t>mcap_VNDtn</t>
  </si>
  <si>
    <t>turnover_3M_ann_%</t>
  </si>
  <si>
    <t>foreign_cap_%</t>
  </si>
  <si>
    <t>foreign_held_%</t>
  </si>
  <si>
    <t>foreign_room_left_%</t>
  </si>
  <si>
    <t>foreign_room_left_m_sh</t>
  </si>
  <si>
    <t>foreign_room_left_VNDbn</t>
  </si>
  <si>
    <t>foreign_room_left_days_ADTV3M</t>
  </si>
  <si>
    <t>foreign_net_buy_last_session_VNDbn</t>
  </si>
  <si>
    <t>rel_vs_VNINDEX_1M</t>
  </si>
  <si>
    <t>rel_vs_peer_median_1M</t>
  </si>
  <si>
    <t>rank_of_8_banks_1M</t>
  </si>
  <si>
    <t>rel_vs_VNINDEX_3M</t>
  </si>
  <si>
    <t>rel_vs_peer_median_3M</t>
  </si>
  <si>
    <t>rank_of_8_banks_3M</t>
  </si>
  <si>
    <t>rel_vs_VNINDEX_6M</t>
  </si>
  <si>
    <t>rel_vs_peer_median_6M</t>
  </si>
  <si>
    <t>rank_of_8_banks_6M</t>
  </si>
  <si>
    <t>rel_vs_VNINDEX_YTD</t>
  </si>
  <si>
    <t>rel_vs_peer_median_YTD</t>
  </si>
  <si>
    <t>rank_of_8_banks_YTD</t>
  </si>
  <si>
    <t>rel_vs_VNINDEX_1Y</t>
  </si>
  <si>
    <t>rel_vs_peer_median_1Y</t>
  </si>
  <si>
    <t>rank_of_8_banks_1Y</t>
  </si>
  <si>
    <t>rel_vs_VNINDEX_3Y</t>
  </si>
  <si>
    <t>rel_vs_peer_median_3Y</t>
  </si>
  <si>
    <t>rank_of_8_banks_3Y</t>
  </si>
  <si>
    <t>2026-10-23</t>
  </si>
  <si>
    <t>2025-08-22</t>
  </si>
  <si>
    <t>2026-02-11</t>
  </si>
  <si>
    <t>2025-03-17</t>
  </si>
  <si>
    <t>2026-07-27</t>
  </si>
  <si>
    <t>2025-04-09</t>
  </si>
  <si>
    <t>2026-05-18</t>
  </si>
  <si>
    <t>MA20</t>
  </si>
  <si>
    <t>pct_vs_MA20</t>
  </si>
  <si>
    <t>above_MA20</t>
  </si>
  <si>
    <t>MA20_slope_20d</t>
  </si>
  <si>
    <t>MA50</t>
  </si>
  <si>
    <t>pct_vs_MA50</t>
  </si>
  <si>
    <t>above_MA50</t>
  </si>
  <si>
    <t>MA50_slope_20d</t>
  </si>
  <si>
    <t>MA200</t>
  </si>
  <si>
    <t>pct_vs_MA200</t>
  </si>
  <si>
    <t>above_MA200</t>
  </si>
  <si>
    <t>MA200_slope_20d</t>
  </si>
  <si>
    <t>MA50_vs_MA200</t>
  </si>
  <si>
    <t>MA50_MA200_last_cross</t>
  </si>
  <si>
    <t>MA20_vs_MA50</t>
  </si>
  <si>
    <t>MA20_MA50_last_cross</t>
  </si>
  <si>
    <t>RSI14</t>
  </si>
  <si>
    <t>RSI_state</t>
  </si>
  <si>
    <t>MACD</t>
  </si>
  <si>
    <t>MACD_signal</t>
  </si>
  <si>
    <t>MACD_hist</t>
  </si>
  <si>
    <t>MACD_state</t>
  </si>
  <si>
    <t>MACD_last_signal_cross</t>
  </si>
  <si>
    <t>MACD_hist_5d_change</t>
  </si>
  <si>
    <t>vol20_vs_vol60</t>
  </si>
  <si>
    <t>avg_vol_up_vs_down_days_60d</t>
  </si>
  <si>
    <t>low_52w</t>
  </si>
  <si>
    <t>high_52w</t>
  </si>
  <si>
    <t>pct_in_52w_range</t>
  </si>
  <si>
    <t>low_3M</t>
  </si>
  <si>
    <t>high_3M</t>
  </si>
  <si>
    <t>vol_profile_POC_6M</t>
  </si>
  <si>
    <t>support_S1</t>
  </si>
  <si>
    <t>support_S1_basis</t>
  </si>
  <si>
    <t>support_S2</t>
  </si>
  <si>
    <t>support_S2_basis</t>
  </si>
  <si>
    <t>resistance_R1</t>
  </si>
  <si>
    <t>resistance_R1_basis</t>
  </si>
  <si>
    <t>resistance_R2</t>
  </si>
  <si>
    <t>resistance_R2_basis</t>
  </si>
  <si>
    <t>swing_lows_1Y</t>
  </si>
  <si>
    <t>swing_highs_1Y</t>
  </si>
  <si>
    <t>MA50 below MA200</t>
  </si>
  <si>
    <t>2026-01-26</t>
  </si>
  <si>
    <t>2026-05-27</t>
  </si>
  <si>
    <t>2026-09-07</t>
  </si>
  <si>
    <t>MA20 above MA50</t>
  </si>
  <si>
    <t>MA20 below MA50</t>
  </si>
  <si>
    <t>2026-09-22</t>
  </si>
  <si>
    <t>2026-10-05</t>
  </si>
  <si>
    <t>2026-10-09</t>
  </si>
  <si>
    <t>neutral</t>
  </si>
  <si>
    <t>bullish / above zero</t>
  </si>
  <si>
    <t>bullish / below zero</t>
  </si>
  <si>
    <t>2026-10-06</t>
  </si>
  <si>
    <t>2026-10-15</t>
  </si>
  <si>
    <t>2026-10-22</t>
  </si>
  <si>
    <t>pivot high 2026-09-04 + pivot high 2026-09-08 + pivot high 2026-08-10 + pivot low 2026-03-09 + MA50</t>
  </si>
  <si>
    <t>pivot low 2026-09-14</t>
  </si>
  <si>
    <t>pivot low 2026-02-10 + pivot high 2025-12-08 + 6M volume POC</t>
  </si>
  <si>
    <t>pivot low 2026-09-11 + pivot low 2026-09-28 + pivot low 2026-08-17</t>
  </si>
  <si>
    <t>pivot low 2026-10-08</t>
  </si>
  <si>
    <t>pivot low 2026-08-19</t>
  </si>
  <si>
    <t>pivot low 2026-02-10 + pivot low 2026-05-20 + pivot low 2026-05-22 + pivot low 2026-06-08 + MA200</t>
  </si>
  <si>
    <t>pivot low 2026-08-17 + pivot low 2026-03-09 + MA50 + 6M volume POC</t>
  </si>
  <si>
    <t>pivot low 2026-06-08 + MA200</t>
  </si>
  <si>
    <t>6M volume POC</t>
  </si>
  <si>
    <t>pivot low 2026-04-07 + MA200 + pivot high 2025-12-04</t>
  </si>
  <si>
    <t>pivot high 2026-09-04 + pivot high 2026-06-24 + pivot high 2026-02-27</t>
  </si>
  <si>
    <t>2025-10-20:15888;2025-11-11:15758;2025-12-15:14849;2026-02-10:14286;2026-03-09:13550;2026-05-20:14337;2026-05-22:14337;2026-06-08:14383;2026-07-27:12922;2026-08-17:13059;2026-09-11:13250;2026-09-28:13150</t>
  </si>
  <si>
    <t>2025-11-03:18501;2025-11-10:18501;2025-11-25:18301;2026-01-26:20904;2026-03-09:19903;2026-04-07:20504;2026-05-20:19703;2026-06-08:19703;2026-06-25:19783;2026-07-27:18034;2026-08-17:19900;2026-09-14:19700;2026-10-08:18900</t>
  </si>
  <si>
    <t>2025-11-10:1581;2025-12-15:1646;2026-02-10:1754;2026-03-23:1591;2026-06-08:1791;2026-07-22:1669;2026-08-19:1727</t>
  </si>
  <si>
    <t>2025-12-04:16364;2026-01-12:16061;2026-01-13:16061;2026-02-25:15065;2026-02-26:15065;2026-04-13:15368;2026-05-27:15250;2026-07-02:15205;2026-08-10:13561;2026-09-04:13744;2026-09-08:13744</t>
  </si>
  <si>
    <t>2025-12-04:20584;2026-01-12:22586;2026-02-11:23227;2026-04-10:21385;2026-04-14:21385;2026-07-08:20824;2026-08-26:21050;2026-08-27:21050;2026-08-28:21050</t>
  </si>
  <si>
    <t>2025-12-08:1754;2026-01-13:1903;2026-02-27:1880;2026-05-18:1928;2026-06-24:1878;2026-09-04:1853</t>
  </si>
  <si>
    <t>as_of_price</t>
  </si>
  <si>
    <t>price</t>
  </si>
  <si>
    <t>BVPS</t>
  </si>
  <si>
    <t>PB_now</t>
  </si>
  <si>
    <t>EPS_TTM</t>
  </si>
  <si>
    <t>PE_TTM</t>
  </si>
  <si>
    <t>PB_3Y_median</t>
  </si>
  <si>
    <t>PB_3Y_min</t>
  </si>
  <si>
    <t>PB_3Y_max</t>
  </si>
  <si>
    <t>PB_3Y_n</t>
  </si>
  <si>
    <t>PB_pctile_vs_3Y</t>
  </si>
  <si>
    <t>PB_vs_3Y_median_%</t>
  </si>
  <si>
    <t>PE_3Y_median</t>
  </si>
  <si>
    <t>ROE_TTM</t>
  </si>
  <si>
    <t>ROE_TTM_own_avg5Q</t>
  </si>
  <si>
    <t>ROE_Q2_2026_ann</t>
  </si>
  <si>
    <t>COE_base</t>
  </si>
  <si>
    <t>g_base</t>
  </si>
  <si>
    <t>justified_PB_base</t>
  </si>
  <si>
    <t>justified_value_base</t>
  </si>
  <si>
    <t>upside_to_justified_%</t>
  </si>
  <si>
    <t>implied_COE_g5</t>
  </si>
  <si>
    <t>implied_COE_g6</t>
  </si>
  <si>
    <t>implied_COE_g7</t>
  </si>
  <si>
    <t>CAPM_COE</t>
  </si>
  <si>
    <t>implied_ROE_at_COE14_g6</t>
  </si>
  <si>
    <t>PB_fit_exSTB_LOO</t>
  </si>
  <si>
    <t>regression_residual_PB</t>
  </si>
  <si>
    <t>regression_residual_%</t>
  </si>
  <si>
    <t>LOO_R2</t>
  </si>
  <si>
    <t>LOO_slope</t>
  </si>
  <si>
    <t>ROA_TTM</t>
  </si>
  <si>
    <t>NIM_TTM</t>
  </si>
  <si>
    <t>CIR_TTM</t>
  </si>
  <si>
    <t>NPL</t>
  </si>
  <si>
    <t>LLR_cov</t>
  </si>
  <si>
    <t>Eq_to_Assets</t>
  </si>
  <si>
    <t>fundamentals_period</t>
  </si>
  <si>
    <t>BV_EPS_source</t>
  </si>
  <si>
    <t>PB_fit_exSTB_incl</t>
  </si>
  <si>
    <t>peer_median_PB_exSTB</t>
  </si>
  <si>
    <t>peer_median_implied_COE_g6_exSTB_exSubject</t>
  </si>
  <si>
    <t>regression_note</t>
  </si>
  <si>
    <t>NPAT_parent_TTM_bn</t>
  </si>
  <si>
    <t>Equity_Q2_2026_bn</t>
  </si>
  <si>
    <t>Minority_Q2_bn</t>
  </si>
  <si>
    <t>ROE_Q1_2026_ann</t>
  </si>
  <si>
    <t>BVPS_own</t>
  </si>
  <si>
    <t>EPS_TTM_own</t>
  </si>
  <si>
    <t>PB_own</t>
  </si>
  <si>
    <t>PE_own</t>
  </si>
  <si>
    <t>Q2_publicDate</t>
  </si>
  <si>
    <t>PBT_H1_2026_bn</t>
  </si>
  <si>
    <t>PBT_FY2025_bn</t>
  </si>
  <si>
    <t>PBT_H2_2025_bn</t>
  </si>
  <si>
    <t>PBT_Q3_2025_bn</t>
  </si>
  <si>
    <t>BV_note</t>
  </si>
  <si>
    <t>2026Q2 TTM (Vietcap IQ)</t>
  </si>
  <si>
    <t>Statements 2026Q2: parent equity bsa78; parent NPAT TTM isa22 (2025Q3-2026Q2)</t>
  </si>
  <si>
    <t>LOO fit on peers ex-STB (STB ROE depressed by legacy restructuring) excluding subject; n=6; cross-section as of 2026-10-23</t>
  </si>
  <si>
    <t>2026-08-06</t>
  </si>
  <si>
    <t>2026-08-07</t>
  </si>
  <si>
    <t>Q2-2026 parent equity / 3,735m shares (post 9.5% bonus); 2025 cash dividend paid 3-Jun-2026 already deducted</t>
  </si>
  <si>
    <t>Q2-2026 parent equity / 10,069m current shares; excludes post-Q2 cash dividend paid 17-Jul (~VND8.06tn) and rights proceeds (805.5m x 10,000 = ~VND8.06tn), which roughly offset</t>
  </si>
  <si>
    <t>scenario</t>
  </si>
  <si>
    <t>price_now</t>
  </si>
  <si>
    <t>BVPS_now</t>
  </si>
  <si>
    <t>ROE</t>
  </si>
  <si>
    <t>COE</t>
  </si>
  <si>
    <t>g</t>
  </si>
  <si>
    <t>DPS_12m</t>
  </si>
  <si>
    <t>justified_PB</t>
  </si>
  <si>
    <t>BVPS_12m</t>
  </si>
  <si>
    <t>value_per_share_12m</t>
  </si>
  <si>
    <t>price_return_12m</t>
  </si>
  <si>
    <t>total_return_12m</t>
  </si>
  <si>
    <t>below_3Y_min_PB</t>
  </si>
  <si>
    <t>PB_vs_3Y_range</t>
  </si>
  <si>
    <t>assumptions</t>
  </si>
  <si>
    <t>vol_cone_12m_p05</t>
  </si>
  <si>
    <t>vol_cone_12m_p16</t>
  </si>
  <si>
    <t>vol_cone_12m_p84</t>
  </si>
  <si>
    <t>vol_cone_12m_p95</t>
  </si>
  <si>
    <t>Base</t>
  </si>
  <si>
    <t>1.09-1.58</t>
  </si>
  <si>
    <t>1.23-1.78</t>
  </si>
  <si>
    <t>Retail/mortgage NPL (4.3% retail NPL Q2) forces credit cost ~1.5%; NIM &lt;3% as JSB deposit/CD rates stay ~7%+; 2026 PBT plan missed by ~20%; COE +1pp vs today</t>
  </si>
  <si>
    <t>ROE ~TTM (15.7%); market keeps today's implied COE (no re-rating); value grows with book</t>
  </si>
  <si>
    <t>Write-off recoveries (mgmt guides VND2-3tn H2) + full credit quota; NIM stabilises 3.1%; COE converges to 14% (peer median)</t>
  </si>
  <si>
    <t>Real-estate asset-quality hit, NIM back &lt;3.9% on funding cost; rights (VND8.1tn) + placement (up to VND2tn) add ~6% to Q2 equity and dilute ROE; COE +1pp</t>
  </si>
  <si>
    <t>ROE eases from 20.7% TTM to ~19.5% as 2026 capital raise (rights 10:1 @10,000) enlarges equity; no re-rating</t>
  </si>
  <si>
    <t>2026 PBT plan (~VND39.4tn) delivered, NIM ~4.1%; COE falls ~2.5pp (17.6% to 15%) toward peer median as foreign-room/dilution overhang clears</t>
  </si>
  <si>
    <t>per</t>
  </si>
  <si>
    <t>publicDate</t>
  </si>
  <si>
    <t>EPS_q</t>
  </si>
  <si>
    <t>LLR</t>
  </si>
  <si>
    <t>Charter</t>
  </si>
  <si>
    <t>nob39</t>
  </si>
  <si>
    <t>nob40</t>
  </si>
  <si>
    <t>nob41</t>
  </si>
  <si>
    <t>nob42</t>
  </si>
  <si>
    <t>nob43</t>
  </si>
  <si>
    <t>nob44</t>
  </si>
  <si>
    <t>nob65</t>
  </si>
  <si>
    <t>nob66</t>
  </si>
  <si>
    <t>nob68</t>
  </si>
  <si>
    <t>nob151</t>
  </si>
  <si>
    <t>nob80</t>
  </si>
  <si>
    <t>nob81</t>
  </si>
  <si>
    <t>CAR_note</t>
  </si>
  <si>
    <t>CreditCost_ann_%</t>
  </si>
  <si>
    <t>ROE_ann_%</t>
  </si>
  <si>
    <t>ROA_ann_%</t>
  </si>
  <si>
    <t>NPAT_yoy_%</t>
  </si>
  <si>
    <t>NII_yoy_%</t>
  </si>
  <si>
    <t>NII_TTM</t>
  </si>
  <si>
    <t>TOI_TTM</t>
  </si>
  <si>
    <t>Opex_TTM</t>
  </si>
  <si>
    <t>Prov_TTM</t>
  </si>
  <si>
    <t>PBT_TTM</t>
  </si>
  <si>
    <t>NPAT_TTM</t>
  </si>
  <si>
    <t>Tax</t>
  </si>
  <si>
    <t>MI_PL</t>
  </si>
  <si>
    <t>FX</t>
  </si>
  <si>
    <t>TradingSec</t>
  </si>
  <si>
    <t>InvSec</t>
  </si>
  <si>
    <t>OtherNet</t>
  </si>
  <si>
    <t>Div</t>
  </si>
  <si>
    <t>IntInc</t>
  </si>
  <si>
    <t>IntExp</t>
  </si>
  <si>
    <t>MI_BS</t>
  </si>
  <si>
    <t>Liab</t>
  </si>
  <si>
    <t>LiabEq</t>
  </si>
  <si>
    <t>IEA</t>
  </si>
  <si>
    <t>nob69</t>
  </si>
  <si>
    <t>nob70</t>
  </si>
  <si>
    <t>ROE_parent_ann_%</t>
  </si>
  <si>
    <t>NIM_ann_%</t>
  </si>
  <si>
    <t>Fee_TTM</t>
  </si>
  <si>
    <t>NPAT_parent_TTM</t>
  </si>
  <si>
    <t>chk_BS_A_minus_LE</t>
  </si>
  <si>
    <t>chk_TOI_minus_parts</t>
  </si>
  <si>
    <t>chk_PBT_minus_PPOPplusProv</t>
  </si>
  <si>
    <t>chk_NPAT_minus_PBTplusTax</t>
  </si>
  <si>
    <t>chk_PPOP_minus_TOIplusOpex</t>
  </si>
  <si>
    <t>chk_nob39_minus_Loans</t>
  </si>
  <si>
    <t>chk_nob65_minus_Deposits</t>
  </si>
  <si>
    <t>chk_grades_minus_nob39</t>
  </si>
  <si>
    <t>2021Q1</t>
  </si>
  <si>
    <t>2021Q2</t>
  </si>
  <si>
    <t>2021Q3</t>
  </si>
  <si>
    <t>2021Q4</t>
  </si>
  <si>
    <t>2022Q1</t>
  </si>
  <si>
    <t>2022Q2</t>
  </si>
  <si>
    <t>2022Q3</t>
  </si>
  <si>
    <t>2022Q4</t>
  </si>
  <si>
    <t>2023Q1</t>
  </si>
  <si>
    <t>2023Q2</t>
  </si>
  <si>
    <t>2023Q3</t>
  </si>
  <si>
    <t>2023Q4</t>
  </si>
  <si>
    <t>2024Q1</t>
  </si>
  <si>
    <t>2024Q2</t>
  </si>
  <si>
    <t>2021-04-29</t>
  </si>
  <si>
    <t>2021-08-13</t>
  </si>
  <si>
    <t>2021-10-29</t>
  </si>
  <si>
    <t>2022-01-26</t>
  </si>
  <si>
    <t>2022-04-28</t>
  </si>
  <si>
    <t>2022-08-04</t>
  </si>
  <si>
    <t>2022-10-28</t>
  </si>
  <si>
    <t>2023-01-18</t>
  </si>
  <si>
    <t>2023-04-28</t>
  </si>
  <si>
    <t>2023-08-04</t>
  </si>
  <si>
    <t>2023-10-30</t>
  </si>
  <si>
    <t>2024-01-24</t>
  </si>
  <si>
    <t>2024-04-26</t>
  </si>
  <si>
    <t>2024-08-06</t>
  </si>
  <si>
    <t>2024-10-30</t>
  </si>
  <si>
    <t>2025-02-26</t>
  </si>
  <si>
    <t>2025-04-29</t>
  </si>
  <si>
    <t>2025-08-07</t>
  </si>
  <si>
    <t>2025-10-29</t>
  </si>
  <si>
    <t>2026-03-02</t>
  </si>
  <si>
    <t>2026-04-29</t>
  </si>
  <si>
    <t>2021-04-27</t>
  </si>
  <si>
    <t>2021-08-17</t>
  </si>
  <si>
    <t>2021-10-25</t>
  </si>
  <si>
    <t>2022-04-25</t>
  </si>
  <si>
    <t>2022-08-11</t>
  </si>
  <si>
    <t>2022-10-21</t>
  </si>
  <si>
    <t>2023-01-30</t>
  </si>
  <si>
    <t>2023-04-27</t>
  </si>
  <si>
    <t>2023-08-15</t>
  </si>
  <si>
    <t>2024-01-30</t>
  </si>
  <si>
    <t>2024-04-19</t>
  </si>
  <si>
    <t>2024-08-14</t>
  </si>
  <si>
    <t>2024-10-29</t>
  </si>
  <si>
    <t>2025-03-31</t>
  </si>
  <si>
    <t>2025-04-25</t>
  </si>
  <si>
    <t>2025-08-15</t>
  </si>
  <si>
    <t>2025-10-27</t>
  </si>
  <si>
    <t>2026-03-10</t>
  </si>
  <si>
    <t>2026-04-28</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</si>
</sst>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386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7"/>
  <sheetViews>
    <sheetView tabSelected="1" workbookViewId="0">
      <pane ySplit="1" topLeftCell="A2" activePane="bottomLeft" state="frozen"/>
      <selection pane="bottomLeft"/>
    </sheetView>
  </sheetViews>
  <sheetFormatPr defaultRowHeight="15"/>
  <cols>
    <col min="1" max="1" width="130.7109375" style="1" customWidth="1"/>
  </cols>
  <sheetData>
    <row r="1" spans="1:1">
      <c r="A1" s="2" t="s">
        <v>0</v>
      </c>
    </row>
    <row r="2" spans="1:1">
      <c r="A2" s="1" t="s">
        <v>1</v>
      </c>
    </row>
    <row r="3" spans="1:1">
      <c r="A3" s="1" t="s">
        <v>2</v>
      </c>
    </row>
    <row r="4" spans="1:1">
      <c r="A4" s="1" t="s">
        <v>3</v>
      </c>
    </row>
    <row r="5" spans="1:1">
      <c r="A5" s="1" t="s">
        <v>4</v>
      </c>
    </row>
    <row r="6" spans="1:1">
      <c r="A6" s="1" t="s">
        <v>5</v>
      </c>
    </row>
    <row r="7" spans="1:1">
      <c r="A7" s="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4" width="34.7109375" style="1" customWidth="1"/>
  </cols>
  <sheetData>
    <row r="1" spans="1:4">
      <c r="A1" s="2" t="s">
        <v>7</v>
      </c>
      <c r="B1" s="2" t="s">
        <v>8</v>
      </c>
      <c r="C1" s="2" t="s">
        <v>9</v>
      </c>
      <c r="D1" s="2" t="s">
        <v>10</v>
      </c>
    </row>
    <row r="2" spans="1:4">
      <c r="A2" s="1" t="s">
        <v>11</v>
      </c>
      <c r="B2" s="1" t="s">
        <v>26</v>
      </c>
      <c r="C2" s="1" t="s">
        <v>41</v>
      </c>
      <c r="D2" s="1" t="s">
        <v>9</v>
      </c>
    </row>
    <row r="3" spans="1:4">
      <c r="A3" s="1" t="s">
        <v>12</v>
      </c>
      <c r="B3" s="1" t="s">
        <v>27</v>
      </c>
      <c r="C3" s="1" t="s">
        <v>42</v>
      </c>
      <c r="D3" s="1" t="s">
        <v>9</v>
      </c>
    </row>
    <row r="4" spans="1:4">
      <c r="A4" s="1" t="s">
        <v>13</v>
      </c>
      <c r="B4" s="1" t="s">
        <v>28</v>
      </c>
      <c r="C4" s="1" t="s">
        <v>43</v>
      </c>
      <c r="D4" s="1" t="s">
        <v>9</v>
      </c>
    </row>
    <row r="5" spans="1:4">
      <c r="A5" s="1" t="s">
        <v>14</v>
      </c>
      <c r="B5" s="1" t="s">
        <v>29</v>
      </c>
      <c r="C5" s="1" t="s">
        <v>44</v>
      </c>
      <c r="D5" s="1" t="s">
        <v>8</v>
      </c>
    </row>
    <row r="6" spans="1:4">
      <c r="A6" s="1" t="s">
        <v>15</v>
      </c>
      <c r="B6" s="1" t="s">
        <v>30</v>
      </c>
      <c r="C6" s="1" t="s">
        <v>45</v>
      </c>
      <c r="D6" s="1" t="s">
        <v>9</v>
      </c>
    </row>
    <row r="7" spans="1:4">
      <c r="A7" s="1" t="s">
        <v>16</v>
      </c>
      <c r="B7" s="1" t="s">
        <v>31</v>
      </c>
      <c r="C7" s="1" t="s">
        <v>46</v>
      </c>
      <c r="D7" s="1" t="s">
        <v>9</v>
      </c>
    </row>
    <row r="8" spans="1:4">
      <c r="A8" s="1" t="s">
        <v>17</v>
      </c>
      <c r="B8" s="1" t="s">
        <v>32</v>
      </c>
      <c r="C8" s="1" t="s">
        <v>47</v>
      </c>
      <c r="D8" s="1" t="s">
        <v>9</v>
      </c>
    </row>
    <row r="9" spans="1:4">
      <c r="A9" s="1" t="s">
        <v>18</v>
      </c>
      <c r="B9" s="1" t="s">
        <v>33</v>
      </c>
      <c r="C9" s="1" t="s">
        <v>48</v>
      </c>
      <c r="D9" s="1">
        <f/>
        <v>0</v>
      </c>
    </row>
    <row r="10" spans="1:4">
      <c r="A10" s="1" t="s">
        <v>19</v>
      </c>
      <c r="B10" s="1" t="s">
        <v>34</v>
      </c>
      <c r="C10" s="1" t="s">
        <v>49</v>
      </c>
      <c r="D10" s="1" t="s">
        <v>9</v>
      </c>
    </row>
    <row r="11" spans="1:4">
      <c r="A11" s="1" t="s">
        <v>20</v>
      </c>
      <c r="B11" s="1" t="s">
        <v>35</v>
      </c>
      <c r="C11" s="1" t="s">
        <v>50</v>
      </c>
      <c r="D11" s="1" t="s">
        <v>9</v>
      </c>
    </row>
    <row r="12" spans="1:4">
      <c r="A12" s="1" t="s">
        <v>21</v>
      </c>
      <c r="B12" s="1" t="s">
        <v>36</v>
      </c>
      <c r="C12" s="1" t="s">
        <v>51</v>
      </c>
      <c r="D12" s="1" t="s">
        <v>9</v>
      </c>
    </row>
    <row r="13" spans="1:4">
      <c r="A13" s="1" t="s">
        <v>22</v>
      </c>
      <c r="B13" s="1" t="s">
        <v>37</v>
      </c>
      <c r="C13" s="1" t="s">
        <v>52</v>
      </c>
      <c r="D13" s="1" t="s">
        <v>8</v>
      </c>
    </row>
    <row r="14" spans="1:4">
      <c r="A14" s="1" t="s">
        <v>23</v>
      </c>
      <c r="B14" s="1" t="s">
        <v>38</v>
      </c>
      <c r="C14" s="1" t="s">
        <v>53</v>
      </c>
      <c r="D14" s="1" t="s">
        <v>56</v>
      </c>
    </row>
    <row r="15" spans="1:4">
      <c r="A15" s="1" t="s">
        <v>24</v>
      </c>
      <c r="B15" s="1" t="s">
        <v>39</v>
      </c>
      <c r="C15" s="1" t="s">
        <v>54</v>
      </c>
      <c r="D15" s="1" t="s">
        <v>9</v>
      </c>
    </row>
    <row r="16" spans="1:4">
      <c r="A16" s="1" t="s">
        <v>25</v>
      </c>
      <c r="B16" s="1" t="s">
        <v>40</v>
      </c>
      <c r="C16" s="1" t="s">
        <v>55</v>
      </c>
      <c r="D16" s="1"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4" width="34.7109375" style="1" customWidth="1"/>
  </cols>
  <sheetData>
    <row r="1" spans="1:4">
      <c r="A1" s="2" t="s">
        <v>58</v>
      </c>
      <c r="B1" s="2" t="s">
        <v>9</v>
      </c>
      <c r="C1" s="2" t="s">
        <v>8</v>
      </c>
      <c r="D1" s="2" t="s">
        <v>59</v>
      </c>
    </row>
    <row r="2" spans="1:4">
      <c r="A2" s="1" t="s">
        <v>60</v>
      </c>
      <c r="B2" s="1" t="s">
        <v>66</v>
      </c>
      <c r="C2" s="1" t="s">
        <v>72</v>
      </c>
      <c r="D2" s="1" t="s">
        <v>78</v>
      </c>
    </row>
    <row r="3" spans="1:4">
      <c r="A3" s="1" t="s">
        <v>61</v>
      </c>
      <c r="B3" s="1" t="s">
        <v>67</v>
      </c>
      <c r="C3" s="1" t="s">
        <v>73</v>
      </c>
      <c r="D3" s="1" t="s">
        <v>79</v>
      </c>
    </row>
    <row r="4" spans="1:4">
      <c r="A4" s="1" t="s">
        <v>62</v>
      </c>
      <c r="B4" s="1" t="s">
        <v>68</v>
      </c>
      <c r="C4" s="1" t="s">
        <v>74</v>
      </c>
      <c r="D4" s="1" t="s">
        <v>80</v>
      </c>
    </row>
    <row r="5" spans="1:4">
      <c r="A5" s="1" t="s">
        <v>63</v>
      </c>
      <c r="B5" s="1" t="s">
        <v>69</v>
      </c>
      <c r="C5" s="1" t="s">
        <v>75</v>
      </c>
      <c r="D5" s="1" t="s">
        <v>81</v>
      </c>
    </row>
    <row r="6" spans="1:4">
      <c r="A6" s="1" t="s">
        <v>64</v>
      </c>
      <c r="B6" s="1" t="s">
        <v>70</v>
      </c>
      <c r="C6" s="1" t="s">
        <v>76</v>
      </c>
      <c r="D6" s="1" t="s">
        <v>82</v>
      </c>
    </row>
    <row r="7" spans="1:4">
      <c r="A7" s="1" t="s">
        <v>65</v>
      </c>
      <c r="B7" s="1" t="s">
        <v>71</v>
      </c>
      <c r="C7" s="1" t="s">
        <v>77</v>
      </c>
      <c r="D7" s="1"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1"/>
  <sheetViews>
    <sheetView workbookViewId="0">
      <pane ySplit="1" topLeftCell="A2" activePane="bottomLeft" state="frozen"/>
      <selection pane="bottomLeft"/>
    </sheetView>
  </sheetViews>
  <sheetFormatPr defaultRowHeight="15"/>
  <cols>
    <col min="1" max="4" width="34.7109375" style="1" customWidth="1"/>
  </cols>
  <sheetData>
    <row r="1" spans="1:4">
      <c r="A1" s="2"/>
      <c r="B1" s="2" t="s">
        <v>8</v>
      </c>
      <c r="C1" s="2" t="s">
        <v>9</v>
      </c>
      <c r="D1" s="2" t="s">
        <v>84</v>
      </c>
    </row>
    <row r="2" spans="1:4">
      <c r="A2" s="1" t="s">
        <v>85</v>
      </c>
      <c r="B2" s="1" t="s">
        <v>95</v>
      </c>
      <c r="C2" s="1" t="s">
        <v>105</v>
      </c>
      <c r="D2" s="1" t="s">
        <v>115</v>
      </c>
    </row>
    <row r="3" spans="1:4">
      <c r="A3" s="1" t="s">
        <v>86</v>
      </c>
      <c r="B3" s="1" t="s">
        <v>96</v>
      </c>
      <c r="C3" s="1" t="s">
        <v>106</v>
      </c>
      <c r="D3" s="1" t="s">
        <v>116</v>
      </c>
    </row>
    <row r="4" spans="1:4">
      <c r="A4" s="1" t="s">
        <v>87</v>
      </c>
      <c r="B4" s="1" t="s">
        <v>97</v>
      </c>
      <c r="C4" s="1" t="s">
        <v>107</v>
      </c>
      <c r="D4" s="1" t="s">
        <v>117</v>
      </c>
    </row>
    <row r="5" spans="1:4">
      <c r="A5" s="1" t="s">
        <v>88</v>
      </c>
      <c r="B5" s="1" t="s">
        <v>98</v>
      </c>
      <c r="C5" s="1" t="s">
        <v>108</v>
      </c>
      <c r="D5" s="1" t="s">
        <v>118</v>
      </c>
    </row>
    <row r="6" spans="1:4">
      <c r="A6" s="1" t="s">
        <v>89</v>
      </c>
      <c r="B6" s="1" t="s">
        <v>99</v>
      </c>
      <c r="C6" s="1" t="s">
        <v>109</v>
      </c>
      <c r="D6" s="1" t="s">
        <v>119</v>
      </c>
    </row>
    <row r="7" spans="1:4">
      <c r="A7" s="1" t="s">
        <v>90</v>
      </c>
      <c r="B7" s="1" t="s">
        <v>100</v>
      </c>
      <c r="C7" s="1" t="s">
        <v>110</v>
      </c>
      <c r="D7" s="1" t="s">
        <v>120</v>
      </c>
    </row>
    <row r="8" spans="1:4">
      <c r="A8" s="1" t="s">
        <v>91</v>
      </c>
      <c r="B8" s="1" t="s">
        <v>101</v>
      </c>
      <c r="C8" s="1" t="s">
        <v>111</v>
      </c>
      <c r="D8" s="1" t="s">
        <v>119</v>
      </c>
    </row>
    <row r="9" spans="1:4">
      <c r="A9" s="1" t="s">
        <v>92</v>
      </c>
      <c r="B9" s="1" t="s">
        <v>102</v>
      </c>
      <c r="C9" s="1" t="s">
        <v>112</v>
      </c>
      <c r="D9" s="1" t="s">
        <v>121</v>
      </c>
    </row>
    <row r="10" spans="1:4">
      <c r="A10" s="1" t="s">
        <v>93</v>
      </c>
      <c r="B10" s="1" t="s">
        <v>103</v>
      </c>
      <c r="C10" s="1" t="s">
        <v>113</v>
      </c>
      <c r="D10" s="1" t="s">
        <v>119</v>
      </c>
    </row>
    <row r="11" spans="1:4">
      <c r="A11" s="1" t="s">
        <v>94</v>
      </c>
      <c r="B11" s="1" t="s">
        <v>104</v>
      </c>
      <c r="C11" s="1" t="s">
        <v>114</v>
      </c>
      <c r="D11" s="1" t="s">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
  <sheetViews>
    <sheetView workbookViewId="0">
      <pane ySplit="1" topLeftCell="A2" activePane="bottomLeft" state="frozen"/>
      <selection pane="bottomLeft"/>
    </sheetView>
  </sheetViews>
  <sheetFormatPr defaultRowHeight="15"/>
  <cols>
    <col min="1" max="4" width="34.7109375" style="1" customWidth="1"/>
  </cols>
  <sheetData>
    <row r="1" spans="1:4">
      <c r="A1" s="2"/>
      <c r="B1" s="2" t="s">
        <v>122</v>
      </c>
      <c r="C1" s="2" t="s">
        <v>123</v>
      </c>
      <c r="D1" s="2" t="s">
        <v>124</v>
      </c>
    </row>
    <row r="2" spans="1:4">
      <c r="A2" s="1" t="s">
        <v>8</v>
      </c>
      <c r="B2" s="1" t="s">
        <v>125</v>
      </c>
      <c r="C2" s="1" t="s">
        <v>127</v>
      </c>
      <c r="D2" s="1" t="s">
        <v>129</v>
      </c>
    </row>
    <row r="3" spans="1:4">
      <c r="A3" s="1" t="s">
        <v>9</v>
      </c>
      <c r="B3" s="1" t="s">
        <v>126</v>
      </c>
      <c r="C3" s="1" t="s">
        <v>128</v>
      </c>
      <c r="D3" s="1" t="s">
        <v>130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7"/>
  <sheetViews>
    <sheetView workbookViewId="0">
      <pane ySplit="1" topLeftCell="A2" activePane="bottomLeft" state="frozen"/>
      <selection pane="bottomLeft"/>
    </sheetView>
  </sheetViews>
  <sheetFormatPr defaultRowHeight="15"/>
  <cols>
    <col min="1" max="3" width="34.7109375" style="1" customWidth="1"/>
  </cols>
  <sheetData>
    <row r="1" spans="1:3">
      <c r="A1" s="2" t="s">
        <v>131</v>
      </c>
      <c r="B1" s="2" t="s">
        <v>132</v>
      </c>
      <c r="C1" s="2" t="s">
        <v>133</v>
      </c>
    </row>
    <row r="2" spans="1:3">
      <c r="A2" s="1" t="s">
        <v>134</v>
      </c>
      <c r="B2" s="1" t="s">
        <v>140</v>
      </c>
      <c r="C2" s="1" t="s">
        <v>142</v>
      </c>
    </row>
    <row r="3" spans="1:3">
      <c r="A3" s="1" t="s">
        <v>135</v>
      </c>
      <c r="B3" s="1" t="s">
        <v>8</v>
      </c>
      <c r="C3" s="1" t="s">
        <v>143</v>
      </c>
    </row>
    <row r="4" spans="1:3">
      <c r="A4" s="1" t="s">
        <v>136</v>
      </c>
      <c r="B4" s="1" t="s">
        <v>140</v>
      </c>
      <c r="C4" s="1" t="s">
        <v>144</v>
      </c>
    </row>
    <row r="5" spans="1:3">
      <c r="A5" s="1" t="s">
        <v>137</v>
      </c>
      <c r="B5" s="1" t="s">
        <v>141</v>
      </c>
      <c r="C5" s="1" t="s">
        <v>145</v>
      </c>
    </row>
    <row r="6" spans="1:3">
      <c r="A6" s="1" t="s">
        <v>138</v>
      </c>
      <c r="B6" s="1" t="s">
        <v>140</v>
      </c>
      <c r="C6" s="1" t="s">
        <v>146</v>
      </c>
    </row>
    <row r="7" spans="1:3">
      <c r="A7" s="1" t="s">
        <v>139</v>
      </c>
      <c r="B7" s="1" t="s">
        <v>141</v>
      </c>
      <c r="C7" s="1" t="s">
        <v>147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5"/>
  <sheetViews>
    <sheetView workbookViewId="0">
      <pane ySplit="1" topLeftCell="A2" activePane="bottomLeft" state="frozen"/>
      <selection pane="bottomLeft"/>
    </sheetView>
  </sheetViews>
  <sheetFormatPr defaultRowHeight="15"/>
  <cols>
    <col min="1" max="1" width="5.7109375" style="1" customWidth="1"/>
    <col min="2" max="2" width="7.7109375" style="1" customWidth="1"/>
    <col min="3" max="4" width="22.7109375" style="1" customWidth="1"/>
    <col min="5" max="5" width="12.7109375" style="1" customWidth="1"/>
    <col min="6" max="6" width="20.7109375" style="1" customWidth="1"/>
    <col min="7" max="7" width="60.7109375" style="1" customWidth="1"/>
    <col min="8" max="10" width="50.7109375" style="1" customWidth="1"/>
  </cols>
  <sheetData>
    <row r="1" spans="1:10">
      <c r="A1" s="2" t="s">
        <v>148</v>
      </c>
      <c r="B1" s="2" t="s">
        <v>132</v>
      </c>
      <c r="C1" s="2" t="s">
        <v>149</v>
      </c>
      <c r="D1" s="2" t="s">
        <v>150</v>
      </c>
      <c r="E1" s="2" t="s">
        <v>151</v>
      </c>
      <c r="F1" s="2" t="s">
        <v>152</v>
      </c>
      <c r="G1" s="2" t="s">
        <v>153</v>
      </c>
      <c r="H1" s="2" t="s">
        <v>154</v>
      </c>
      <c r="I1" s="2" t="s">
        <v>155</v>
      </c>
      <c r="J1" s="2" t="s">
        <v>156</v>
      </c>
    </row>
    <row r="2" spans="1:10">
      <c r="A2" s="1">
        <v>1</v>
      </c>
      <c r="B2" s="1" t="s">
        <v>8</v>
      </c>
      <c r="C2" s="1" t="s">
        <v>157</v>
      </c>
      <c r="D2" s="1" t="s">
        <v>170</v>
      </c>
      <c r="E2" s="1" t="s">
        <v>178</v>
      </c>
      <c r="F2" s="1" t="s">
        <v>180</v>
      </c>
      <c r="G2" s="1" t="s">
        <v>188</v>
      </c>
      <c r="H2" s="1" t="s">
        <v>202</v>
      </c>
      <c r="I2" s="1" t="s">
        <v>216</v>
      </c>
      <c r="J2" s="1" t="s">
        <v>230</v>
      </c>
    </row>
    <row r="3" spans="1:10">
      <c r="A3" s="1">
        <v>2</v>
      </c>
      <c r="B3" s="1" t="s">
        <v>8</v>
      </c>
      <c r="C3" s="1" t="s">
        <v>158</v>
      </c>
      <c r="D3" s="1" t="s">
        <v>170</v>
      </c>
      <c r="E3" s="1" t="s">
        <v>178</v>
      </c>
      <c r="F3" s="1" t="s">
        <v>181</v>
      </c>
      <c r="G3" s="1" t="s">
        <v>189</v>
      </c>
      <c r="H3" s="1" t="s">
        <v>203</v>
      </c>
      <c r="I3" s="1" t="s">
        <v>217</v>
      </c>
      <c r="J3" s="1" t="s">
        <v>231</v>
      </c>
    </row>
    <row r="4" spans="1:10">
      <c r="A4" s="1">
        <v>3</v>
      </c>
      <c r="B4" s="1" t="s">
        <v>8</v>
      </c>
      <c r="C4" s="1" t="s">
        <v>159</v>
      </c>
      <c r="D4" s="1" t="s">
        <v>171</v>
      </c>
      <c r="E4" s="1" t="s">
        <v>178</v>
      </c>
      <c r="F4" s="1" t="s">
        <v>182</v>
      </c>
      <c r="G4" s="1" t="s">
        <v>190</v>
      </c>
      <c r="H4" s="1" t="s">
        <v>204</v>
      </c>
      <c r="I4" s="1" t="s">
        <v>218</v>
      </c>
      <c r="J4" s="1" t="s">
        <v>232</v>
      </c>
    </row>
    <row r="5" spans="1:10">
      <c r="A5" s="1">
        <v>4</v>
      </c>
      <c r="B5" s="1" t="s">
        <v>8</v>
      </c>
      <c r="C5" s="1" t="s">
        <v>160</v>
      </c>
      <c r="D5" s="1" t="s">
        <v>172</v>
      </c>
      <c r="E5" s="1" t="s">
        <v>178</v>
      </c>
      <c r="F5" s="1" t="s">
        <v>183</v>
      </c>
      <c r="G5" s="1" t="s">
        <v>191</v>
      </c>
      <c r="H5" s="1" t="s">
        <v>205</v>
      </c>
      <c r="I5" s="1" t="s">
        <v>219</v>
      </c>
      <c r="J5" s="1" t="s">
        <v>233</v>
      </c>
    </row>
    <row r="6" spans="1:10">
      <c r="A6" s="1">
        <v>5</v>
      </c>
      <c r="B6" s="1" t="s">
        <v>8</v>
      </c>
      <c r="C6" s="1" t="s">
        <v>161</v>
      </c>
      <c r="D6" s="1" t="s">
        <v>173</v>
      </c>
      <c r="E6" s="1" t="s">
        <v>178</v>
      </c>
      <c r="F6" s="1" t="s">
        <v>184</v>
      </c>
      <c r="G6" s="1" t="s">
        <v>192</v>
      </c>
      <c r="H6" s="1" t="s">
        <v>206</v>
      </c>
      <c r="I6" s="1" t="s">
        <v>220</v>
      </c>
      <c r="J6" s="1" t="s">
        <v>234</v>
      </c>
    </row>
    <row r="7" spans="1:10">
      <c r="A7" s="1">
        <v>6</v>
      </c>
      <c r="B7" s="1" t="s">
        <v>8</v>
      </c>
      <c r="C7" s="1" t="s">
        <v>162</v>
      </c>
      <c r="D7" s="1" t="s">
        <v>174</v>
      </c>
      <c r="E7" s="1" t="s">
        <v>179</v>
      </c>
      <c r="F7" s="1" t="s">
        <v>185</v>
      </c>
      <c r="G7" s="1" t="s">
        <v>193</v>
      </c>
      <c r="H7" s="1" t="s">
        <v>207</v>
      </c>
      <c r="I7" s="1" t="s">
        <v>221</v>
      </c>
      <c r="J7" s="1" t="s">
        <v>235</v>
      </c>
    </row>
    <row r="8" spans="1:10">
      <c r="A8" s="1">
        <v>7</v>
      </c>
      <c r="B8" s="1" t="s">
        <v>8</v>
      </c>
      <c r="C8" s="1" t="s">
        <v>163</v>
      </c>
      <c r="D8" s="1" t="s">
        <v>175</v>
      </c>
      <c r="E8" s="1" t="s">
        <v>178</v>
      </c>
      <c r="F8" s="1" t="s">
        <v>186</v>
      </c>
      <c r="G8" s="1" t="s">
        <v>194</v>
      </c>
      <c r="H8" s="1" t="s">
        <v>208</v>
      </c>
      <c r="I8" s="1" t="s">
        <v>222</v>
      </c>
      <c r="J8" s="1" t="s">
        <v>236</v>
      </c>
    </row>
    <row r="9" spans="1:10">
      <c r="A9" s="1">
        <v>8</v>
      </c>
      <c r="B9" s="1" t="s">
        <v>9</v>
      </c>
      <c r="C9" s="1" t="s">
        <v>164</v>
      </c>
      <c r="D9" s="1" t="s">
        <v>171</v>
      </c>
      <c r="E9" s="1" t="s">
        <v>178</v>
      </c>
      <c r="F9" s="1" t="s">
        <v>185</v>
      </c>
      <c r="G9" s="1" t="s">
        <v>195</v>
      </c>
      <c r="H9" s="1" t="s">
        <v>209</v>
      </c>
      <c r="I9" s="1" t="s">
        <v>223</v>
      </c>
      <c r="J9" s="1" t="s">
        <v>237</v>
      </c>
    </row>
    <row r="10" spans="1:10">
      <c r="A10" s="1">
        <v>9</v>
      </c>
      <c r="B10" s="1" t="s">
        <v>9</v>
      </c>
      <c r="C10" s="1" t="s">
        <v>165</v>
      </c>
      <c r="D10" s="1" t="s">
        <v>170</v>
      </c>
      <c r="E10" s="1" t="s">
        <v>178</v>
      </c>
      <c r="F10" s="1" t="s">
        <v>180</v>
      </c>
      <c r="G10" s="1" t="s">
        <v>196</v>
      </c>
      <c r="H10" s="1" t="s">
        <v>210</v>
      </c>
      <c r="I10" s="1" t="s">
        <v>224</v>
      </c>
      <c r="J10" s="1" t="s">
        <v>238</v>
      </c>
    </row>
    <row r="11" spans="1:10">
      <c r="A11" s="1">
        <v>10</v>
      </c>
      <c r="B11" s="1" t="s">
        <v>9</v>
      </c>
      <c r="C11" s="1" t="s">
        <v>166</v>
      </c>
      <c r="D11" s="1" t="s">
        <v>176</v>
      </c>
      <c r="E11" s="1" t="s">
        <v>178</v>
      </c>
      <c r="F11" s="1" t="s">
        <v>184</v>
      </c>
      <c r="G11" s="1" t="s">
        <v>197</v>
      </c>
      <c r="H11" s="1" t="s">
        <v>211</v>
      </c>
      <c r="I11" s="1" t="s">
        <v>225</v>
      </c>
      <c r="J11" s="1" t="s">
        <v>239</v>
      </c>
    </row>
    <row r="12" spans="1:10">
      <c r="A12" s="1">
        <v>11</v>
      </c>
      <c r="B12" s="1" t="s">
        <v>9</v>
      </c>
      <c r="C12" s="1" t="s">
        <v>159</v>
      </c>
      <c r="D12" s="1" t="s">
        <v>177</v>
      </c>
      <c r="E12" s="1" t="s">
        <v>179</v>
      </c>
      <c r="F12" s="1" t="s">
        <v>182</v>
      </c>
      <c r="G12" s="1" t="s">
        <v>198</v>
      </c>
      <c r="H12" s="1" t="s">
        <v>212</v>
      </c>
      <c r="I12" s="1" t="s">
        <v>226</v>
      </c>
      <c r="J12" s="1" t="s">
        <v>240</v>
      </c>
    </row>
    <row r="13" spans="1:10">
      <c r="A13" s="1">
        <v>12</v>
      </c>
      <c r="B13" s="1" t="s">
        <v>9</v>
      </c>
      <c r="C13" s="1" t="s">
        <v>167</v>
      </c>
      <c r="D13" s="1" t="s">
        <v>170</v>
      </c>
      <c r="E13" s="1" t="s">
        <v>179</v>
      </c>
      <c r="F13" s="1" t="s">
        <v>187</v>
      </c>
      <c r="G13" s="1" t="s">
        <v>199</v>
      </c>
      <c r="H13" s="1" t="s">
        <v>213</v>
      </c>
      <c r="I13" s="1" t="s">
        <v>227</v>
      </c>
      <c r="J13" s="1" t="s">
        <v>241</v>
      </c>
    </row>
    <row r="14" spans="1:10">
      <c r="A14" s="1">
        <v>13</v>
      </c>
      <c r="B14" s="1" t="s">
        <v>9</v>
      </c>
      <c r="C14" s="1" t="s">
        <v>168</v>
      </c>
      <c r="D14" s="1" t="s">
        <v>171</v>
      </c>
      <c r="E14" s="1" t="s">
        <v>179</v>
      </c>
      <c r="F14" s="1" t="s">
        <v>183</v>
      </c>
      <c r="G14" s="1" t="s">
        <v>200</v>
      </c>
      <c r="H14" s="1" t="s">
        <v>214</v>
      </c>
      <c r="I14" s="1" t="s">
        <v>228</v>
      </c>
      <c r="J14" s="1" t="s">
        <v>242</v>
      </c>
    </row>
    <row r="15" spans="1:10">
      <c r="A15" s="1">
        <v>14</v>
      </c>
      <c r="B15" s="1" t="s">
        <v>140</v>
      </c>
      <c r="C15" s="1" t="s">
        <v>169</v>
      </c>
      <c r="D15" s="1" t="s">
        <v>177</v>
      </c>
      <c r="E15" s="1" t="s">
        <v>179</v>
      </c>
      <c r="F15" s="1" t="s">
        <v>182</v>
      </c>
      <c r="G15" s="1" t="s">
        <v>201</v>
      </c>
      <c r="H15" s="1" t="s">
        <v>215</v>
      </c>
      <c r="I15" s="1" t="s">
        <v>229</v>
      </c>
      <c r="J15" s="1" t="s">
        <v>243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149"/>
  <sheetViews>
    <sheetView workbookViewId="0">
      <pane ySplit="1" topLeftCell="A2" activePane="bottomLeft" state="frozen"/>
      <selection pane="bottomLeft"/>
    </sheetView>
  </sheetViews>
  <sheetFormatPr defaultRowHeight="15"/>
  <cols>
    <col min="1" max="13" width="14.7109375" customWidth="1"/>
  </cols>
  <sheetData>
    <row r="1" spans="1:13">
      <c r="A1" s="2" t="s">
        <v>244</v>
      </c>
      <c r="B1" s="2" t="s">
        <v>245</v>
      </c>
      <c r="C1" s="2" t="s">
        <v>246</v>
      </c>
      <c r="D1" s="2" t="s">
        <v>247</v>
      </c>
      <c r="E1" s="2" t="s">
        <v>248</v>
      </c>
      <c r="F1" s="2" t="s">
        <v>249</v>
      </c>
      <c r="G1" s="2" t="s">
        <v>250</v>
      </c>
      <c r="H1" s="2" t="s">
        <v>251</v>
      </c>
      <c r="I1" s="2" t="s">
        <v>252</v>
      </c>
      <c r="J1" s="2" t="s">
        <v>253</v>
      </c>
      <c r="K1" s="2" t="s">
        <v>254</v>
      </c>
      <c r="L1" s="2" t="s">
        <v>255</v>
      </c>
      <c r="M1" s="2" t="s">
        <v>256</v>
      </c>
    </row>
    <row r="2" spans="1:13">
      <c r="A2" t="s">
        <v>8</v>
      </c>
      <c r="B2" t="s">
        <v>257</v>
      </c>
      <c r="C2" t="s">
        <v>294</v>
      </c>
      <c r="D2" t="s">
        <v>298</v>
      </c>
      <c r="E2">
        <v>4367.969</v>
      </c>
      <c r="F2" t="s">
        <v>301</v>
      </c>
      <c r="G2">
        <v>3968.694</v>
      </c>
      <c r="H2">
        <v>10.06061439859056</v>
      </c>
      <c r="I2" t="s">
        <v>304</v>
      </c>
      <c r="J2" t="s">
        <v>307</v>
      </c>
      <c r="K2" t="s">
        <v>309</v>
      </c>
      <c r="L2">
        <f>NII</f>
        <v>0</v>
      </c>
      <c r="M2" t="s">
        <v>378</v>
      </c>
    </row>
    <row r="3" spans="1:13">
      <c r="A3" t="s">
        <v>8</v>
      </c>
      <c r="B3" t="s">
        <v>258</v>
      </c>
      <c r="C3" t="s">
        <v>294</v>
      </c>
      <c r="D3" t="s">
        <v>298</v>
      </c>
      <c r="E3">
        <v>1074.981</v>
      </c>
      <c r="F3" t="s">
        <v>301</v>
      </c>
      <c r="G3">
        <v>401.038</v>
      </c>
      <c r="H3">
        <v>168.0496611293693</v>
      </c>
      <c r="I3" t="s">
        <v>304</v>
      </c>
      <c r="J3" t="s">
        <v>307</v>
      </c>
      <c r="K3" t="s">
        <v>310</v>
      </c>
      <c r="L3">
        <f>Fee</f>
        <v>0</v>
      </c>
      <c r="M3" t="s">
        <v>379</v>
      </c>
    </row>
    <row r="4" spans="1:13">
      <c r="A4" t="s">
        <v>8</v>
      </c>
      <c r="B4" t="s">
        <v>259</v>
      </c>
      <c r="C4" t="s">
        <v>294</v>
      </c>
      <c r="D4" t="s">
        <v>298</v>
      </c>
      <c r="E4">
        <v>999.7709999999996</v>
      </c>
      <c r="F4" t="s">
        <v>301</v>
      </c>
      <c r="G4">
        <v>1148.124</v>
      </c>
      <c r="H4">
        <v>-12.9213395068826</v>
      </c>
      <c r="I4" t="s">
        <v>304</v>
      </c>
      <c r="J4" t="s">
        <v>307</v>
      </c>
      <c r="K4" t="s">
        <v>311</v>
      </c>
      <c r="L4">
        <f>NonII</f>
        <v>0</v>
      </c>
      <c r="M4" t="s">
        <v>380</v>
      </c>
    </row>
    <row r="5" spans="1:13">
      <c r="A5" t="s">
        <v>8</v>
      </c>
      <c r="B5" t="s">
        <v>260</v>
      </c>
      <c r="C5" t="s">
        <v>294</v>
      </c>
      <c r="D5" t="s">
        <v>298</v>
      </c>
      <c r="E5">
        <v>5367.74</v>
      </c>
      <c r="F5" t="s">
        <v>301</v>
      </c>
      <c r="G5">
        <v>5116.818</v>
      </c>
      <c r="H5">
        <v>4.903867989832733</v>
      </c>
      <c r="I5" t="s">
        <v>304</v>
      </c>
      <c r="J5" t="s">
        <v>307</v>
      </c>
      <c r="K5" t="s">
        <v>312</v>
      </c>
      <c r="L5">
        <f>TOI</f>
        <v>0</v>
      </c>
      <c r="M5" t="s">
        <v>381</v>
      </c>
    </row>
    <row r="6" spans="1:13">
      <c r="A6" t="s">
        <v>8</v>
      </c>
      <c r="B6" t="s">
        <v>62</v>
      </c>
      <c r="C6" t="s">
        <v>294</v>
      </c>
      <c r="D6" t="s">
        <v>298</v>
      </c>
      <c r="E6">
        <v>-1703.809</v>
      </c>
      <c r="F6" t="s">
        <v>301</v>
      </c>
      <c r="G6">
        <v>-1885.615</v>
      </c>
      <c r="H6">
        <v>-9.641734924679746</v>
      </c>
      <c r="I6" t="s">
        <v>304</v>
      </c>
      <c r="J6" t="s">
        <v>307</v>
      </c>
      <c r="K6" t="s">
        <v>313</v>
      </c>
      <c r="L6">
        <f>Opex</f>
        <v>0</v>
      </c>
      <c r="M6" t="s">
        <v>382</v>
      </c>
    </row>
    <row r="7" spans="1:13">
      <c r="A7" t="s">
        <v>8</v>
      </c>
      <c r="B7" t="s">
        <v>261</v>
      </c>
      <c r="C7" t="s">
        <v>294</v>
      </c>
      <c r="D7" t="s">
        <v>298</v>
      </c>
      <c r="E7">
        <v>3663.931</v>
      </c>
      <c r="F7" t="s">
        <v>301</v>
      </c>
      <c r="G7">
        <v>3231.203</v>
      </c>
      <c r="H7">
        <v>13.39216384733488</v>
      </c>
      <c r="I7" t="s">
        <v>304</v>
      </c>
      <c r="J7" t="s">
        <v>307</v>
      </c>
      <c r="K7" t="s">
        <v>314</v>
      </c>
      <c r="L7">
        <f>PPOP</f>
        <v>0</v>
      </c>
      <c r="M7" t="s">
        <v>383</v>
      </c>
    </row>
    <row r="8" spans="1:13">
      <c r="A8" t="s">
        <v>8</v>
      </c>
      <c r="B8" t="s">
        <v>262</v>
      </c>
      <c r="C8" t="s">
        <v>294</v>
      </c>
      <c r="D8" t="s">
        <v>298</v>
      </c>
      <c r="E8">
        <v>-1280.891</v>
      </c>
      <c r="F8" t="s">
        <v>301</v>
      </c>
      <c r="G8">
        <v>-635.6369999999999</v>
      </c>
      <c r="H8">
        <v>101.5129704532619</v>
      </c>
      <c r="I8" t="s">
        <v>304</v>
      </c>
      <c r="J8" t="s">
        <v>307</v>
      </c>
      <c r="K8" t="s">
        <v>315</v>
      </c>
      <c r="L8">
        <f>Prov</f>
        <v>0</v>
      </c>
      <c r="M8" t="s">
        <v>384</v>
      </c>
    </row>
    <row r="9" spans="1:13">
      <c r="A9" t="s">
        <v>8</v>
      </c>
      <c r="B9" t="s">
        <v>263</v>
      </c>
      <c r="C9" t="s">
        <v>294</v>
      </c>
      <c r="D9" t="s">
        <v>298</v>
      </c>
      <c r="E9">
        <v>2383.04</v>
      </c>
      <c r="F9" t="s">
        <v>301</v>
      </c>
      <c r="G9">
        <v>2595.566</v>
      </c>
      <c r="H9">
        <v>-8.188040681685605</v>
      </c>
      <c r="I9" t="s">
        <v>304</v>
      </c>
      <c r="J9" t="s">
        <v>307</v>
      </c>
      <c r="K9" t="s">
        <v>316</v>
      </c>
      <c r="L9">
        <f>PBT</f>
        <v>0</v>
      </c>
      <c r="M9" t="s">
        <v>385</v>
      </c>
    </row>
    <row r="10" spans="1:13">
      <c r="A10" t="s">
        <v>8</v>
      </c>
      <c r="B10" t="s">
        <v>264</v>
      </c>
      <c r="C10" t="s">
        <v>294</v>
      </c>
      <c r="D10" t="s">
        <v>298</v>
      </c>
      <c r="E10">
        <v>1905.424</v>
      </c>
      <c r="F10" t="s">
        <v>301</v>
      </c>
      <c r="G10">
        <v>2076.469</v>
      </c>
      <c r="H10">
        <v>-8.237300918048863</v>
      </c>
      <c r="I10" t="s">
        <v>304</v>
      </c>
      <c r="J10" t="s">
        <v>307</v>
      </c>
      <c r="K10" t="s">
        <v>317</v>
      </c>
      <c r="L10">
        <f>NPAT</f>
        <v>0</v>
      </c>
      <c r="M10" t="s">
        <v>386</v>
      </c>
    </row>
    <row r="11" spans="1:13">
      <c r="A11" t="s">
        <v>8</v>
      </c>
      <c r="B11" t="s">
        <v>265</v>
      </c>
      <c r="C11" t="s">
        <v>294</v>
      </c>
      <c r="D11" t="s">
        <v>298</v>
      </c>
      <c r="E11">
        <v>1905.424</v>
      </c>
      <c r="F11" t="s">
        <v>301</v>
      </c>
      <c r="G11">
        <v>2076.469</v>
      </c>
      <c r="H11">
        <v>-8.237300918048863</v>
      </c>
      <c r="I11" t="s">
        <v>304</v>
      </c>
      <c r="J11" t="s">
        <v>307</v>
      </c>
      <c r="K11" t="s">
        <v>318</v>
      </c>
      <c r="L11">
        <f>NPAT_parent</f>
        <v>0</v>
      </c>
      <c r="M11" t="s">
        <v>387</v>
      </c>
    </row>
    <row r="12" spans="1:13">
      <c r="A12" t="s">
        <v>8</v>
      </c>
      <c r="B12" t="s">
        <v>266</v>
      </c>
      <c r="C12" t="s">
        <v>294</v>
      </c>
      <c r="D12" t="s">
        <v>298</v>
      </c>
      <c r="E12">
        <v>3.109453843976764</v>
      </c>
      <c r="F12" t="s">
        <v>301</v>
      </c>
      <c r="G12">
        <v>3.118481456117584</v>
      </c>
      <c r="H12">
        <v>-0.009027612140819</v>
      </c>
      <c r="I12" t="s">
        <v>305</v>
      </c>
      <c r="J12" t="s">
        <v>308</v>
      </c>
      <c r="K12" t="s">
        <v>319</v>
      </c>
      <c r="L12">
        <f>NII*ann/AVERAGE(IEA)</f>
        <v>0</v>
      </c>
      <c r="M12" t="s">
        <v>388</v>
      </c>
    </row>
    <row r="13" spans="1:13">
      <c r="A13" t="s">
        <v>8</v>
      </c>
      <c r="B13" t="s">
        <v>267</v>
      </c>
      <c r="C13" t="s">
        <v>294</v>
      </c>
      <c r="D13" t="s">
        <v>298</v>
      </c>
      <c r="E13">
        <v>31.74164545972793</v>
      </c>
      <c r="F13" t="s">
        <v>301</v>
      </c>
      <c r="G13">
        <v>36.8513204886318</v>
      </c>
      <c r="H13">
        <v>-5.109675028903869</v>
      </c>
      <c r="I13" t="s">
        <v>305</v>
      </c>
      <c r="J13" t="s">
        <v>308</v>
      </c>
      <c r="K13" t="s">
        <v>320</v>
      </c>
      <c r="L13">
        <f>-Opex/TOI</f>
        <v>0</v>
      </c>
      <c r="M13" t="s">
        <v>389</v>
      </c>
    </row>
    <row r="14" spans="1:13">
      <c r="A14" t="s">
        <v>8</v>
      </c>
      <c r="B14" t="s">
        <v>268</v>
      </c>
      <c r="C14" t="s">
        <v>294</v>
      </c>
      <c r="D14" t="s">
        <v>298</v>
      </c>
      <c r="E14">
        <v>1.308131591119392</v>
      </c>
      <c r="F14" t="s">
        <v>301</v>
      </c>
      <c r="G14">
        <v>0.7367308936727495</v>
      </c>
      <c r="H14">
        <v>0.5714006974466426</v>
      </c>
      <c r="I14" t="s">
        <v>305</v>
      </c>
      <c r="J14" t="s">
        <v>308</v>
      </c>
      <c r="K14" t="s">
        <v>321</v>
      </c>
      <c r="L14">
        <f>-Prov*ann/AVERAGE(Loans)</f>
        <v>0</v>
      </c>
      <c r="M14" t="s">
        <v>390</v>
      </c>
    </row>
    <row r="15" spans="1:13">
      <c r="A15" t="s">
        <v>8</v>
      </c>
      <c r="B15" t="s">
        <v>269</v>
      </c>
      <c r="C15" t="s">
        <v>294</v>
      </c>
      <c r="D15" t="s">
        <v>298</v>
      </c>
      <c r="E15">
        <v>15.71776920653394</v>
      </c>
      <c r="F15" t="s">
        <v>301</v>
      </c>
      <c r="G15">
        <v>19.03467414974742</v>
      </c>
      <c r="H15">
        <v>-3.316904943213476</v>
      </c>
      <c r="I15" t="s">
        <v>305</v>
      </c>
      <c r="J15" t="s">
        <v>308</v>
      </c>
      <c r="K15" t="s">
        <v>322</v>
      </c>
      <c r="L15">
        <f>NPAT_parent*ann/AVERAGE(Equity-MI)</f>
        <v>0</v>
      </c>
      <c r="M15" t="s">
        <v>391</v>
      </c>
    </row>
    <row r="16" spans="1:13">
      <c r="A16" t="s">
        <v>8</v>
      </c>
      <c r="B16" t="s">
        <v>270</v>
      </c>
      <c r="C16" t="s">
        <v>294</v>
      </c>
      <c r="D16" t="s">
        <v>298</v>
      </c>
      <c r="E16">
        <v>15.71776920653394</v>
      </c>
      <c r="F16" t="s">
        <v>301</v>
      </c>
      <c r="G16">
        <v>19.03467414974742</v>
      </c>
      <c r="H16">
        <v>-3.316904943213476</v>
      </c>
      <c r="I16" t="s">
        <v>305</v>
      </c>
      <c r="J16" t="s">
        <v>308</v>
      </c>
      <c r="K16" t="s">
        <v>323</v>
      </c>
      <c r="L16">
        <f>NPAT*ann/AVERAGE(Equity)</f>
        <v>0</v>
      </c>
      <c r="M16" t="s">
        <v>392</v>
      </c>
    </row>
    <row r="17" spans="1:13">
      <c r="A17" t="s">
        <v>8</v>
      </c>
      <c r="B17" t="s">
        <v>271</v>
      </c>
      <c r="C17" t="s">
        <v>294</v>
      </c>
      <c r="D17" t="s">
        <v>298</v>
      </c>
      <c r="E17">
        <v>1.331133218735692</v>
      </c>
      <c r="F17" t="s">
        <v>301</v>
      </c>
      <c r="G17">
        <v>1.618075492337818</v>
      </c>
      <c r="H17">
        <v>-0.2869422736021259</v>
      </c>
      <c r="I17" t="s">
        <v>305</v>
      </c>
      <c r="J17" t="s">
        <v>308</v>
      </c>
      <c r="K17" t="s">
        <v>324</v>
      </c>
      <c r="L17">
        <f>NPAT*ann/AVERAGE(Assets)</f>
        <v>0</v>
      </c>
      <c r="M17" t="s">
        <v>393</v>
      </c>
    </row>
    <row r="18" spans="1:13">
      <c r="A18" t="s">
        <v>8</v>
      </c>
      <c r="B18" t="s">
        <v>272</v>
      </c>
      <c r="C18" t="s">
        <v>294</v>
      </c>
      <c r="D18" t="s">
        <v>298</v>
      </c>
      <c r="E18">
        <v>20.04229891231368</v>
      </c>
      <c r="F18" t="s">
        <v>301</v>
      </c>
      <c r="G18">
        <v>19.99937585867591</v>
      </c>
      <c r="H18">
        <v>0.0429230536377716</v>
      </c>
      <c r="I18" t="s">
        <v>305</v>
      </c>
      <c r="J18" t="s">
        <v>308</v>
      </c>
      <c r="K18" t="s">
        <v>325</v>
      </c>
      <c r="L18">
        <f>-Tax/PBT</f>
        <v>0</v>
      </c>
      <c r="M18" t="s">
        <v>394</v>
      </c>
    </row>
    <row r="19" spans="1:13">
      <c r="A19" t="s">
        <v>8</v>
      </c>
      <c r="B19" t="s">
        <v>273</v>
      </c>
      <c r="C19" t="s">
        <v>294</v>
      </c>
      <c r="D19" t="s">
        <v>298</v>
      </c>
      <c r="E19">
        <v>20.02669652404923</v>
      </c>
      <c r="F19" t="s">
        <v>301</v>
      </c>
      <c r="G19">
        <v>7.837644411038267</v>
      </c>
      <c r="H19">
        <v>12.18905211301096</v>
      </c>
      <c r="I19" t="s">
        <v>305</v>
      </c>
      <c r="J19" t="s">
        <v>308</v>
      </c>
      <c r="K19" t="s">
        <v>326</v>
      </c>
      <c r="L19">
        <f>Fee/TOI</f>
        <v>0</v>
      </c>
      <c r="M19" t="s">
        <v>395</v>
      </c>
    </row>
    <row r="20" spans="1:13">
      <c r="A20" t="s">
        <v>8</v>
      </c>
      <c r="B20" t="s">
        <v>257</v>
      </c>
      <c r="C20" t="s">
        <v>295</v>
      </c>
      <c r="D20" t="s">
        <v>299</v>
      </c>
      <c r="E20">
        <v>16792.892</v>
      </c>
      <c r="F20" t="s">
        <v>302</v>
      </c>
      <c r="G20">
        <v>15781.508</v>
      </c>
      <c r="H20">
        <v>6.408665128833069</v>
      </c>
      <c r="I20" t="s">
        <v>304</v>
      </c>
      <c r="J20" t="s">
        <v>307</v>
      </c>
      <c r="K20" t="s">
        <v>327</v>
      </c>
      <c r="L20">
        <f>SUM(NII range)</f>
        <v>0</v>
      </c>
      <c r="M20" t="s">
        <v>378</v>
      </c>
    </row>
    <row r="21" spans="1:13">
      <c r="A21" t="s">
        <v>8</v>
      </c>
      <c r="B21" t="s">
        <v>258</v>
      </c>
      <c r="C21" t="s">
        <v>295</v>
      </c>
      <c r="D21" t="s">
        <v>299</v>
      </c>
      <c r="E21">
        <v>4391.034</v>
      </c>
      <c r="F21" t="s">
        <v>302</v>
      </c>
      <c r="G21">
        <v>1742.097</v>
      </c>
      <c r="H21">
        <v>152.0545067237932</v>
      </c>
      <c r="I21" t="s">
        <v>304</v>
      </c>
      <c r="J21" t="s">
        <v>307</v>
      </c>
      <c r="K21" t="s">
        <v>328</v>
      </c>
      <c r="L21">
        <f>SUM(Fee range)</f>
        <v>0</v>
      </c>
      <c r="M21" t="s">
        <v>379</v>
      </c>
    </row>
    <row r="22" spans="1:13">
      <c r="A22" t="s">
        <v>8</v>
      </c>
      <c r="B22" t="s">
        <v>259</v>
      </c>
      <c r="C22" t="s">
        <v>295</v>
      </c>
      <c r="D22" t="s">
        <v>299</v>
      </c>
      <c r="E22">
        <v>4723.852000000001</v>
      </c>
      <c r="F22" t="s">
        <v>302</v>
      </c>
      <c r="G22">
        <v>4147.817</v>
      </c>
      <c r="H22">
        <v>13.8876666931063</v>
      </c>
      <c r="I22" t="s">
        <v>304</v>
      </c>
      <c r="J22" t="s">
        <v>307</v>
      </c>
      <c r="K22" t="s">
        <v>329</v>
      </c>
      <c r="L22">
        <f>SUM(NonII range)</f>
        <v>0</v>
      </c>
      <c r="M22" t="s">
        <v>380</v>
      </c>
    </row>
    <row r="23" spans="1:13">
      <c r="A23" t="s">
        <v>8</v>
      </c>
      <c r="B23" t="s">
        <v>260</v>
      </c>
      <c r="C23" t="s">
        <v>295</v>
      </c>
      <c r="D23" t="s">
        <v>299</v>
      </c>
      <c r="E23">
        <v>21516.744</v>
      </c>
      <c r="F23" t="s">
        <v>302</v>
      </c>
      <c r="G23">
        <v>19929.325</v>
      </c>
      <c r="H23">
        <v>7.965242174534271</v>
      </c>
      <c r="I23" t="s">
        <v>304</v>
      </c>
      <c r="J23" t="s">
        <v>307</v>
      </c>
      <c r="K23" t="s">
        <v>330</v>
      </c>
      <c r="L23">
        <f>SUM(TOI range)</f>
        <v>0</v>
      </c>
      <c r="M23" t="s">
        <v>381</v>
      </c>
    </row>
    <row r="24" spans="1:13">
      <c r="A24" t="s">
        <v>8</v>
      </c>
      <c r="B24" t="s">
        <v>62</v>
      </c>
      <c r="C24" t="s">
        <v>295</v>
      </c>
      <c r="D24" t="s">
        <v>299</v>
      </c>
      <c r="E24">
        <v>-7346.907</v>
      </c>
      <c r="F24" t="s">
        <v>302</v>
      </c>
      <c r="G24">
        <v>-7178.66</v>
      </c>
      <c r="H24">
        <v>2.343710386060915</v>
      </c>
      <c r="I24" t="s">
        <v>304</v>
      </c>
      <c r="J24" t="s">
        <v>307</v>
      </c>
      <c r="K24" t="s">
        <v>331</v>
      </c>
      <c r="L24">
        <f>SUM(Opex range)</f>
        <v>0</v>
      </c>
      <c r="M24" t="s">
        <v>382</v>
      </c>
    </row>
    <row r="25" spans="1:13">
      <c r="A25" t="s">
        <v>8</v>
      </c>
      <c r="B25" t="s">
        <v>261</v>
      </c>
      <c r="C25" t="s">
        <v>295</v>
      </c>
      <c r="D25" t="s">
        <v>299</v>
      </c>
      <c r="E25">
        <v>14169.837</v>
      </c>
      <c r="F25" t="s">
        <v>302</v>
      </c>
      <c r="G25">
        <v>12750.665</v>
      </c>
      <c r="H25">
        <v>11.1301802690291</v>
      </c>
      <c r="I25" t="s">
        <v>304</v>
      </c>
      <c r="J25" t="s">
        <v>307</v>
      </c>
      <c r="K25" t="s">
        <v>332</v>
      </c>
      <c r="L25">
        <f>SUM(PPOP range)</f>
        <v>0</v>
      </c>
      <c r="M25" t="s">
        <v>383</v>
      </c>
    </row>
    <row r="26" spans="1:13">
      <c r="A26" t="s">
        <v>8</v>
      </c>
      <c r="B26" t="s">
        <v>262</v>
      </c>
      <c r="C26" t="s">
        <v>295</v>
      </c>
      <c r="D26" t="s">
        <v>299</v>
      </c>
      <c r="E26">
        <v>-4895.867</v>
      </c>
      <c r="F26" t="s">
        <v>302</v>
      </c>
      <c r="G26">
        <v>-3335.054</v>
      </c>
      <c r="H26">
        <v>46.80023172038594</v>
      </c>
      <c r="I26" t="s">
        <v>304</v>
      </c>
      <c r="J26" t="s">
        <v>307</v>
      </c>
      <c r="K26" t="s">
        <v>333</v>
      </c>
      <c r="L26">
        <f>SUM(Prov range)</f>
        <v>0</v>
      </c>
      <c r="M26" t="s">
        <v>384</v>
      </c>
    </row>
    <row r="27" spans="1:13">
      <c r="A27" t="s">
        <v>8</v>
      </c>
      <c r="B27" t="s">
        <v>263</v>
      </c>
      <c r="C27" t="s">
        <v>295</v>
      </c>
      <c r="D27" t="s">
        <v>299</v>
      </c>
      <c r="E27">
        <v>9273.969999999999</v>
      </c>
      <c r="F27" t="s">
        <v>302</v>
      </c>
      <c r="G27">
        <v>9415.611000000001</v>
      </c>
      <c r="H27">
        <v>-1.504320856076147</v>
      </c>
      <c r="I27" t="s">
        <v>304</v>
      </c>
      <c r="J27" t="s">
        <v>307</v>
      </c>
      <c r="K27" t="s">
        <v>334</v>
      </c>
      <c r="L27">
        <f>SUM(PBT range)</f>
        <v>0</v>
      </c>
      <c r="M27" t="s">
        <v>385</v>
      </c>
    </row>
    <row r="28" spans="1:13">
      <c r="A28" t="s">
        <v>8</v>
      </c>
      <c r="B28" t="s">
        <v>264</v>
      </c>
      <c r="C28" t="s">
        <v>295</v>
      </c>
      <c r="D28" t="s">
        <v>299</v>
      </c>
      <c r="E28">
        <v>7419.112</v>
      </c>
      <c r="F28" t="s">
        <v>302</v>
      </c>
      <c r="G28">
        <v>7533.298</v>
      </c>
      <c r="H28">
        <v>-1.515750472103983</v>
      </c>
      <c r="I28" t="s">
        <v>304</v>
      </c>
      <c r="J28" t="s">
        <v>307</v>
      </c>
      <c r="K28" t="s">
        <v>335</v>
      </c>
      <c r="L28">
        <f>SUM(NPAT range)</f>
        <v>0</v>
      </c>
      <c r="M28" t="s">
        <v>386</v>
      </c>
    </row>
    <row r="29" spans="1:13">
      <c r="A29" t="s">
        <v>8</v>
      </c>
      <c r="B29" t="s">
        <v>265</v>
      </c>
      <c r="C29" t="s">
        <v>295</v>
      </c>
      <c r="D29" t="s">
        <v>299</v>
      </c>
      <c r="E29">
        <v>7419.112</v>
      </c>
      <c r="F29" t="s">
        <v>302</v>
      </c>
      <c r="G29">
        <v>7533.298</v>
      </c>
      <c r="H29">
        <v>-1.515750472103983</v>
      </c>
      <c r="I29" t="s">
        <v>304</v>
      </c>
      <c r="J29" t="s">
        <v>307</v>
      </c>
      <c r="K29" t="s">
        <v>336</v>
      </c>
      <c r="L29">
        <f>SUM(NPAT_parent range)</f>
        <v>0</v>
      </c>
      <c r="M29" t="s">
        <v>387</v>
      </c>
    </row>
    <row r="30" spans="1:13">
      <c r="A30" t="s">
        <v>8</v>
      </c>
      <c r="B30" t="s">
        <v>266</v>
      </c>
      <c r="C30" t="s">
        <v>295</v>
      </c>
      <c r="D30" t="s">
        <v>299</v>
      </c>
      <c r="E30">
        <v>3.069506866448584</v>
      </c>
      <c r="F30" t="s">
        <v>302</v>
      </c>
      <c r="G30">
        <v>3.316669523185331</v>
      </c>
      <c r="H30">
        <v>-0.2471626567367471</v>
      </c>
      <c r="I30" t="s">
        <v>305</v>
      </c>
      <c r="J30" t="s">
        <v>308</v>
      </c>
      <c r="K30" t="s">
        <v>337</v>
      </c>
      <c r="L30">
        <f>NII*ann/AVERAGE(IEA)</f>
        <v>0</v>
      </c>
      <c r="M30" t="s">
        <v>388</v>
      </c>
    </row>
    <row r="31" spans="1:13">
      <c r="A31" t="s">
        <v>8</v>
      </c>
      <c r="B31" t="s">
        <v>267</v>
      </c>
      <c r="C31" t="s">
        <v>295</v>
      </c>
      <c r="D31" t="s">
        <v>299</v>
      </c>
      <c r="E31">
        <v>34.14506860331657</v>
      </c>
      <c r="F31" t="s">
        <v>302</v>
      </c>
      <c r="G31">
        <v>36.02058775196853</v>
      </c>
      <c r="H31">
        <v>-1.875519148651961</v>
      </c>
      <c r="I31" t="s">
        <v>305</v>
      </c>
      <c r="J31" t="s">
        <v>308</v>
      </c>
      <c r="K31" t="s">
        <v>320</v>
      </c>
      <c r="L31">
        <f>-Opex/TOI</f>
        <v>0</v>
      </c>
      <c r="M31" t="s">
        <v>389</v>
      </c>
    </row>
    <row r="32" spans="1:13">
      <c r="A32" t="s">
        <v>8</v>
      </c>
      <c r="B32" t="s">
        <v>268</v>
      </c>
      <c r="C32" t="s">
        <v>295</v>
      </c>
      <c r="D32" t="s">
        <v>299</v>
      </c>
      <c r="E32">
        <v>1.292389074062207</v>
      </c>
      <c r="F32" t="s">
        <v>302</v>
      </c>
      <c r="G32">
        <v>1.04830431761349</v>
      </c>
      <c r="H32">
        <v>0.2440847564487167</v>
      </c>
      <c r="I32" t="s">
        <v>305</v>
      </c>
      <c r="J32" t="s">
        <v>308</v>
      </c>
      <c r="K32" t="s">
        <v>338</v>
      </c>
      <c r="L32">
        <f>-Prov*ann/AVERAGE(Loans)</f>
        <v>0</v>
      </c>
      <c r="M32" t="s">
        <v>390</v>
      </c>
    </row>
    <row r="33" spans="1:13">
      <c r="A33" t="s">
        <v>8</v>
      </c>
      <c r="B33" t="s">
        <v>269</v>
      </c>
      <c r="C33" t="s">
        <v>295</v>
      </c>
      <c r="D33" t="s">
        <v>299</v>
      </c>
      <c r="E33">
        <v>15.93628845814709</v>
      </c>
      <c r="F33" t="s">
        <v>302</v>
      </c>
      <c r="G33">
        <v>18.15905984983097</v>
      </c>
      <c r="H33">
        <v>-2.22277139168388</v>
      </c>
      <c r="I33" t="s">
        <v>305</v>
      </c>
      <c r="J33" t="s">
        <v>308</v>
      </c>
      <c r="K33" t="s">
        <v>339</v>
      </c>
      <c r="L33">
        <f>NPAT_parent*ann/AVERAGE(Equity-MI)</f>
        <v>0</v>
      </c>
      <c r="M33" t="s">
        <v>391</v>
      </c>
    </row>
    <row r="34" spans="1:13">
      <c r="A34" t="s">
        <v>8</v>
      </c>
      <c r="B34" t="s">
        <v>270</v>
      </c>
      <c r="C34" t="s">
        <v>295</v>
      </c>
      <c r="D34" t="s">
        <v>299</v>
      </c>
      <c r="E34">
        <v>15.93628845814709</v>
      </c>
      <c r="F34" t="s">
        <v>302</v>
      </c>
      <c r="G34">
        <v>18.15905984983097</v>
      </c>
      <c r="H34">
        <v>-2.22277139168388</v>
      </c>
      <c r="I34" t="s">
        <v>305</v>
      </c>
      <c r="J34" t="s">
        <v>308</v>
      </c>
      <c r="K34" t="s">
        <v>340</v>
      </c>
      <c r="L34">
        <f>NPAT*ann/AVERAGE(Equity)</f>
        <v>0</v>
      </c>
      <c r="M34" t="s">
        <v>392</v>
      </c>
    </row>
    <row r="35" spans="1:13">
      <c r="A35" t="s">
        <v>8</v>
      </c>
      <c r="B35" t="s">
        <v>271</v>
      </c>
      <c r="C35" t="s">
        <v>295</v>
      </c>
      <c r="D35" t="s">
        <v>299</v>
      </c>
      <c r="E35">
        <v>1.33643446248238</v>
      </c>
      <c r="F35" t="s">
        <v>302</v>
      </c>
      <c r="G35">
        <v>1.571968971882961</v>
      </c>
      <c r="H35">
        <v>-0.2355345094005807</v>
      </c>
      <c r="I35" t="s">
        <v>305</v>
      </c>
      <c r="J35" t="s">
        <v>308</v>
      </c>
      <c r="K35" t="s">
        <v>341</v>
      </c>
      <c r="L35">
        <f>NPAT*ann/AVERAGE(Assets)</f>
        <v>0</v>
      </c>
      <c r="M35" t="s">
        <v>393</v>
      </c>
    </row>
    <row r="36" spans="1:13">
      <c r="A36" t="s">
        <v>8</v>
      </c>
      <c r="B36" t="s">
        <v>272</v>
      </c>
      <c r="C36" t="s">
        <v>295</v>
      </c>
      <c r="D36" t="s">
        <v>299</v>
      </c>
      <c r="E36">
        <v>20.00069010359101</v>
      </c>
      <c r="F36" t="s">
        <v>302</v>
      </c>
      <c r="G36">
        <v>19.99140576219643</v>
      </c>
      <c r="H36">
        <v>0.0092843413945935</v>
      </c>
      <c r="I36" t="s">
        <v>305</v>
      </c>
      <c r="J36" t="s">
        <v>308</v>
      </c>
      <c r="K36" t="s">
        <v>325</v>
      </c>
      <c r="L36">
        <f>-Tax/PBT</f>
        <v>0</v>
      </c>
      <c r="M36" t="s">
        <v>394</v>
      </c>
    </row>
    <row r="37" spans="1:13">
      <c r="A37" t="s">
        <v>8</v>
      </c>
      <c r="B37" t="s">
        <v>273</v>
      </c>
      <c r="C37" t="s">
        <v>295</v>
      </c>
      <c r="D37" t="s">
        <v>299</v>
      </c>
      <c r="E37">
        <v>20.40752076615309</v>
      </c>
      <c r="F37" t="s">
        <v>302</v>
      </c>
      <c r="G37">
        <v>8.741374833317236</v>
      </c>
      <c r="H37">
        <v>11.66614593283586</v>
      </c>
      <c r="I37" t="s">
        <v>305</v>
      </c>
      <c r="J37" t="s">
        <v>308</v>
      </c>
      <c r="K37" t="s">
        <v>326</v>
      </c>
      <c r="L37">
        <f>Fee/TOI</f>
        <v>0</v>
      </c>
      <c r="M37" t="s">
        <v>395</v>
      </c>
    </row>
    <row r="38" spans="1:13">
      <c r="A38" t="s">
        <v>8</v>
      </c>
      <c r="B38" t="s">
        <v>257</v>
      </c>
      <c r="C38" t="s">
        <v>296</v>
      </c>
      <c r="D38" t="s">
        <v>300</v>
      </c>
      <c r="E38">
        <v>8406.535</v>
      </c>
      <c r="F38" t="s">
        <v>303</v>
      </c>
      <c r="G38">
        <v>7705.803</v>
      </c>
      <c r="H38">
        <v>9.093562345157279</v>
      </c>
      <c r="I38" t="s">
        <v>304</v>
      </c>
      <c r="J38" t="s">
        <v>307</v>
      </c>
      <c r="K38" t="s">
        <v>342</v>
      </c>
      <c r="L38">
        <f>SUM(NII range)</f>
        <v>0</v>
      </c>
      <c r="M38" t="s">
        <v>378</v>
      </c>
    </row>
    <row r="39" spans="1:13">
      <c r="A39" t="s">
        <v>8</v>
      </c>
      <c r="B39" t="s">
        <v>258</v>
      </c>
      <c r="C39" t="s">
        <v>296</v>
      </c>
      <c r="D39" t="s">
        <v>300</v>
      </c>
      <c r="E39">
        <v>3064.461</v>
      </c>
      <c r="F39" t="s">
        <v>303</v>
      </c>
      <c r="G39">
        <v>778.768</v>
      </c>
      <c r="H39">
        <v>293.5011453988865</v>
      </c>
      <c r="I39" t="s">
        <v>304</v>
      </c>
      <c r="J39" t="s">
        <v>307</v>
      </c>
      <c r="K39" t="s">
        <v>343</v>
      </c>
      <c r="L39">
        <f>SUM(Fee range)</f>
        <v>0</v>
      </c>
      <c r="M39" t="s">
        <v>379</v>
      </c>
    </row>
    <row r="40" spans="1:13">
      <c r="A40" t="s">
        <v>8</v>
      </c>
      <c r="B40" t="s">
        <v>259</v>
      </c>
      <c r="C40" t="s">
        <v>296</v>
      </c>
      <c r="D40" t="s">
        <v>300</v>
      </c>
      <c r="E40">
        <v>2821.541</v>
      </c>
      <c r="F40" t="s">
        <v>303</v>
      </c>
      <c r="G40">
        <v>2012.17</v>
      </c>
      <c r="H40">
        <v>40.22378824850781</v>
      </c>
      <c r="I40" t="s">
        <v>304</v>
      </c>
      <c r="J40" t="s">
        <v>307</v>
      </c>
      <c r="K40" t="s">
        <v>344</v>
      </c>
      <c r="L40">
        <f>SUM(NonII range)</f>
        <v>0</v>
      </c>
      <c r="M40" t="s">
        <v>380</v>
      </c>
    </row>
    <row r="41" spans="1:13">
      <c r="A41" t="s">
        <v>8</v>
      </c>
      <c r="B41" t="s">
        <v>260</v>
      </c>
      <c r="C41" t="s">
        <v>296</v>
      </c>
      <c r="D41" t="s">
        <v>300</v>
      </c>
      <c r="E41">
        <v>11228.076</v>
      </c>
      <c r="F41" t="s">
        <v>303</v>
      </c>
      <c r="G41">
        <v>9717.973</v>
      </c>
      <c r="H41">
        <v>15.53927964195827</v>
      </c>
      <c r="I41" t="s">
        <v>304</v>
      </c>
      <c r="J41" t="s">
        <v>307</v>
      </c>
      <c r="K41" t="s">
        <v>345</v>
      </c>
      <c r="L41">
        <f>SUM(TOI range)</f>
        <v>0</v>
      </c>
      <c r="M41" t="s">
        <v>381</v>
      </c>
    </row>
    <row r="42" spans="1:13">
      <c r="A42" t="s">
        <v>8</v>
      </c>
      <c r="B42" t="s">
        <v>62</v>
      </c>
      <c r="C42" t="s">
        <v>296</v>
      </c>
      <c r="D42" t="s">
        <v>300</v>
      </c>
      <c r="E42">
        <v>-3556.551</v>
      </c>
      <c r="F42" t="s">
        <v>303</v>
      </c>
      <c r="G42">
        <v>-3644.65</v>
      </c>
      <c r="H42">
        <v>-2.417214272975465</v>
      </c>
      <c r="I42" t="s">
        <v>304</v>
      </c>
      <c r="J42" t="s">
        <v>307</v>
      </c>
      <c r="K42" t="s">
        <v>346</v>
      </c>
      <c r="L42">
        <f>SUM(Opex range)</f>
        <v>0</v>
      </c>
      <c r="M42" t="s">
        <v>382</v>
      </c>
    </row>
    <row r="43" spans="1:13">
      <c r="A43" t="s">
        <v>8</v>
      </c>
      <c r="B43" t="s">
        <v>261</v>
      </c>
      <c r="C43" t="s">
        <v>296</v>
      </c>
      <c r="D43" t="s">
        <v>300</v>
      </c>
      <c r="E43">
        <v>7671.525</v>
      </c>
      <c r="F43" t="s">
        <v>303</v>
      </c>
      <c r="G43">
        <v>6073.323</v>
      </c>
      <c r="H43">
        <v>26.31511612341382</v>
      </c>
      <c r="I43" t="s">
        <v>304</v>
      </c>
      <c r="J43" t="s">
        <v>307</v>
      </c>
      <c r="K43" t="s">
        <v>347</v>
      </c>
      <c r="L43">
        <f>SUM(PPOP range)</f>
        <v>0</v>
      </c>
      <c r="M43" t="s">
        <v>383</v>
      </c>
    </row>
    <row r="44" spans="1:13">
      <c r="A44" t="s">
        <v>8</v>
      </c>
      <c r="B44" t="s">
        <v>262</v>
      </c>
      <c r="C44" t="s">
        <v>296</v>
      </c>
      <c r="D44" t="s">
        <v>300</v>
      </c>
      <c r="E44">
        <v>-2485.817</v>
      </c>
      <c r="F44" t="s">
        <v>303</v>
      </c>
      <c r="G44">
        <v>-1056.969</v>
      </c>
      <c r="H44">
        <v>135.1835295074879</v>
      </c>
      <c r="I44" t="s">
        <v>304</v>
      </c>
      <c r="J44" t="s">
        <v>307</v>
      </c>
      <c r="K44" t="s">
        <v>348</v>
      </c>
      <c r="L44">
        <f>SUM(Prov range)</f>
        <v>0</v>
      </c>
      <c r="M44" t="s">
        <v>384</v>
      </c>
    </row>
    <row r="45" spans="1:13">
      <c r="A45" t="s">
        <v>8</v>
      </c>
      <c r="B45" t="s">
        <v>263</v>
      </c>
      <c r="C45" t="s">
        <v>296</v>
      </c>
      <c r="D45" t="s">
        <v>300</v>
      </c>
      <c r="E45">
        <v>5185.708000000001</v>
      </c>
      <c r="F45" t="s">
        <v>303</v>
      </c>
      <c r="G45">
        <v>5016.353999999999</v>
      </c>
      <c r="H45">
        <v>3.376037656034669</v>
      </c>
      <c r="I45" t="s">
        <v>304</v>
      </c>
      <c r="J45" t="s">
        <v>307</v>
      </c>
      <c r="K45" t="s">
        <v>349</v>
      </c>
      <c r="L45">
        <f>SUM(PBT range)</f>
        <v>0</v>
      </c>
      <c r="M45" t="s">
        <v>385</v>
      </c>
    </row>
    <row r="46" spans="1:13">
      <c r="A46" t="s">
        <v>8</v>
      </c>
      <c r="B46" t="s">
        <v>264</v>
      </c>
      <c r="C46" t="s">
        <v>296</v>
      </c>
      <c r="D46" t="s">
        <v>300</v>
      </c>
      <c r="E46">
        <v>4146.615</v>
      </c>
      <c r="F46" t="s">
        <v>303</v>
      </c>
      <c r="G46">
        <v>4012.933</v>
      </c>
      <c r="H46">
        <v>3.331279141715049</v>
      </c>
      <c r="I46" t="s">
        <v>304</v>
      </c>
      <c r="J46" t="s">
        <v>307</v>
      </c>
      <c r="K46" t="s">
        <v>350</v>
      </c>
      <c r="L46">
        <f>SUM(NPAT range)</f>
        <v>0</v>
      </c>
      <c r="M46" t="s">
        <v>386</v>
      </c>
    </row>
    <row r="47" spans="1:13">
      <c r="A47" t="s">
        <v>8</v>
      </c>
      <c r="B47" t="s">
        <v>265</v>
      </c>
      <c r="C47" t="s">
        <v>296</v>
      </c>
      <c r="D47" t="s">
        <v>300</v>
      </c>
      <c r="E47">
        <v>4146.615</v>
      </c>
      <c r="F47" t="s">
        <v>303</v>
      </c>
      <c r="G47">
        <v>4012.933</v>
      </c>
      <c r="H47">
        <v>3.331279141715049</v>
      </c>
      <c r="I47" t="s">
        <v>304</v>
      </c>
      <c r="J47" t="s">
        <v>307</v>
      </c>
      <c r="K47" t="s">
        <v>351</v>
      </c>
      <c r="L47">
        <f>SUM(NPAT_parent range)</f>
        <v>0</v>
      </c>
      <c r="M47" t="s">
        <v>387</v>
      </c>
    </row>
    <row r="48" spans="1:13">
      <c r="A48" t="s">
        <v>8</v>
      </c>
      <c r="B48" t="s">
        <v>266</v>
      </c>
      <c r="C48" t="s">
        <v>296</v>
      </c>
      <c r="D48" t="s">
        <v>300</v>
      </c>
      <c r="E48">
        <v>3.019722922133097</v>
      </c>
      <c r="F48" t="s">
        <v>303</v>
      </c>
      <c r="G48">
        <v>3.065941481219182</v>
      </c>
      <c r="H48">
        <v>-0.046218559086085</v>
      </c>
      <c r="I48" t="s">
        <v>305</v>
      </c>
      <c r="J48" t="s">
        <v>308</v>
      </c>
      <c r="K48" t="s">
        <v>352</v>
      </c>
      <c r="L48">
        <f>NII*ann/AVERAGE(IEA)</f>
        <v>0</v>
      </c>
      <c r="M48" t="s">
        <v>388</v>
      </c>
    </row>
    <row r="49" spans="1:13">
      <c r="A49" t="s">
        <v>8</v>
      </c>
      <c r="B49" t="s">
        <v>267</v>
      </c>
      <c r="C49" t="s">
        <v>296</v>
      </c>
      <c r="D49" t="s">
        <v>300</v>
      </c>
      <c r="E49">
        <v>31.67551591207612</v>
      </c>
      <c r="F49" t="s">
        <v>303</v>
      </c>
      <c r="G49">
        <v>37.50422027309605</v>
      </c>
      <c r="H49">
        <v>-5.828704361019927</v>
      </c>
      <c r="I49" t="s">
        <v>305</v>
      </c>
      <c r="J49" t="s">
        <v>308</v>
      </c>
      <c r="K49" t="s">
        <v>320</v>
      </c>
      <c r="L49">
        <f>-Opex/TOI</f>
        <v>0</v>
      </c>
      <c r="M49" t="s">
        <v>389</v>
      </c>
    </row>
    <row r="50" spans="1:13">
      <c r="A50" t="s">
        <v>8</v>
      </c>
      <c r="B50" t="s">
        <v>268</v>
      </c>
      <c r="C50" t="s">
        <v>296</v>
      </c>
      <c r="D50" t="s">
        <v>300</v>
      </c>
      <c r="E50">
        <v>1.279905468813274</v>
      </c>
      <c r="F50" t="s">
        <v>303</v>
      </c>
      <c r="G50">
        <v>0.6252811111470661</v>
      </c>
      <c r="H50">
        <v>0.6546243576662084</v>
      </c>
      <c r="I50" t="s">
        <v>305</v>
      </c>
      <c r="J50" t="s">
        <v>308</v>
      </c>
      <c r="K50" t="s">
        <v>353</v>
      </c>
      <c r="L50">
        <f>-Prov*ann/AVERAGE(Loans)</f>
        <v>0</v>
      </c>
      <c r="M50" t="s">
        <v>390</v>
      </c>
    </row>
    <row r="51" spans="1:13">
      <c r="A51" t="s">
        <v>8</v>
      </c>
      <c r="B51" t="s">
        <v>269</v>
      </c>
      <c r="C51" t="s">
        <v>296</v>
      </c>
      <c r="D51" t="s">
        <v>300</v>
      </c>
      <c r="E51">
        <v>17.29117401612341</v>
      </c>
      <c r="F51" t="s">
        <v>303</v>
      </c>
      <c r="G51">
        <v>18.64560733620486</v>
      </c>
      <c r="H51">
        <v>-1.354433320081448</v>
      </c>
      <c r="I51" t="s">
        <v>305</v>
      </c>
      <c r="J51" t="s">
        <v>308</v>
      </c>
      <c r="K51" t="s">
        <v>354</v>
      </c>
      <c r="L51">
        <f>NPAT_parent*ann/AVERAGE(Equity-MI)</f>
        <v>0</v>
      </c>
      <c r="M51" t="s">
        <v>391</v>
      </c>
    </row>
    <row r="52" spans="1:13">
      <c r="A52" t="s">
        <v>8</v>
      </c>
      <c r="B52" t="s">
        <v>270</v>
      </c>
      <c r="C52" t="s">
        <v>296</v>
      </c>
      <c r="D52" t="s">
        <v>300</v>
      </c>
      <c r="E52">
        <v>17.29117401612341</v>
      </c>
      <c r="F52" t="s">
        <v>303</v>
      </c>
      <c r="G52">
        <v>18.64560733620486</v>
      </c>
      <c r="H52">
        <v>-1.354433320081448</v>
      </c>
      <c r="I52" t="s">
        <v>305</v>
      </c>
      <c r="J52" t="s">
        <v>308</v>
      </c>
      <c r="K52" t="s">
        <v>355</v>
      </c>
      <c r="L52">
        <f>NPAT*ann/AVERAGE(Equity)</f>
        <v>0</v>
      </c>
      <c r="M52" t="s">
        <v>392</v>
      </c>
    </row>
    <row r="53" spans="1:13">
      <c r="A53" t="s">
        <v>8</v>
      </c>
      <c r="B53" t="s">
        <v>271</v>
      </c>
      <c r="C53" t="s">
        <v>296</v>
      </c>
      <c r="D53" t="s">
        <v>300</v>
      </c>
      <c r="E53">
        <v>1.462442365952116</v>
      </c>
      <c r="F53" t="s">
        <v>303</v>
      </c>
      <c r="G53">
        <v>1.584266406190971</v>
      </c>
      <c r="H53">
        <v>-0.1218240402388552</v>
      </c>
      <c r="I53" t="s">
        <v>305</v>
      </c>
      <c r="J53" t="s">
        <v>308</v>
      </c>
      <c r="K53" t="s">
        <v>356</v>
      </c>
      <c r="L53">
        <f>NPAT*ann/AVERAGE(Assets)</f>
        <v>0</v>
      </c>
      <c r="M53" t="s">
        <v>393</v>
      </c>
    </row>
    <row r="54" spans="1:13">
      <c r="A54" t="s">
        <v>8</v>
      </c>
      <c r="B54" t="s">
        <v>272</v>
      </c>
      <c r="C54" t="s">
        <v>296</v>
      </c>
      <c r="D54" t="s">
        <v>300</v>
      </c>
      <c r="E54">
        <v>20.03763034864284</v>
      </c>
      <c r="F54" t="s">
        <v>303</v>
      </c>
      <c r="G54">
        <v>20.00299420654922</v>
      </c>
      <c r="H54">
        <v>0.0346361420936212</v>
      </c>
      <c r="I54" t="s">
        <v>305</v>
      </c>
      <c r="J54" t="s">
        <v>308</v>
      </c>
      <c r="K54" t="s">
        <v>325</v>
      </c>
      <c r="L54">
        <f>-Tax/PBT</f>
        <v>0</v>
      </c>
      <c r="M54" t="s">
        <v>394</v>
      </c>
    </row>
    <row r="55" spans="1:13">
      <c r="A55" t="s">
        <v>8</v>
      </c>
      <c r="B55" t="s">
        <v>273</v>
      </c>
      <c r="C55" t="s">
        <v>296</v>
      </c>
      <c r="D55" t="s">
        <v>300</v>
      </c>
      <c r="E55">
        <v>27.29284162308841</v>
      </c>
      <c r="F55" t="s">
        <v>303</v>
      </c>
      <c r="G55">
        <v>8.013687628068118</v>
      </c>
      <c r="H55">
        <v>19.27915399502029</v>
      </c>
      <c r="I55" t="s">
        <v>305</v>
      </c>
      <c r="J55" t="s">
        <v>308</v>
      </c>
      <c r="K55" t="s">
        <v>326</v>
      </c>
      <c r="L55">
        <f>Fee/TOI</f>
        <v>0</v>
      </c>
      <c r="M55" t="s">
        <v>395</v>
      </c>
    </row>
    <row r="56" spans="1:13">
      <c r="A56" t="s">
        <v>8</v>
      </c>
      <c r="B56" t="s">
        <v>274</v>
      </c>
      <c r="C56" t="s">
        <v>297</v>
      </c>
      <c r="D56" t="s">
        <v>298</v>
      </c>
      <c r="E56">
        <v>2.925558113229535</v>
      </c>
      <c r="F56" t="s">
        <v>301</v>
      </c>
      <c r="G56">
        <v>3.556975678732047</v>
      </c>
      <c r="H56">
        <v>-0.6314175655025118</v>
      </c>
      <c r="I56" t="s">
        <v>305</v>
      </c>
      <c r="J56" t="s">
        <v>308</v>
      </c>
      <c r="K56" t="s">
        <v>357</v>
      </c>
      <c r="L56">
        <f>(nob42+nob43+nob44)/nob39</f>
        <v>0</v>
      </c>
      <c r="M56" t="s">
        <v>396</v>
      </c>
    </row>
    <row r="57" spans="1:13">
      <c r="A57" t="s">
        <v>8</v>
      </c>
      <c r="B57" t="s">
        <v>275</v>
      </c>
      <c r="C57" t="s">
        <v>297</v>
      </c>
      <c r="D57" t="s">
        <v>298</v>
      </c>
      <c r="E57">
        <v>2.564810010828781</v>
      </c>
      <c r="F57" t="s">
        <v>301</v>
      </c>
      <c r="G57">
        <v>2.904805270166941</v>
      </c>
      <c r="H57">
        <v>-0.3399952593381603</v>
      </c>
      <c r="I57" t="s">
        <v>305</v>
      </c>
      <c r="J57" t="s">
        <v>308</v>
      </c>
      <c r="K57" t="s">
        <v>358</v>
      </c>
      <c r="L57">
        <f>nob41/nob39</f>
        <v>0</v>
      </c>
      <c r="M57" t="s">
        <v>397</v>
      </c>
    </row>
    <row r="58" spans="1:13">
      <c r="A58" t="s">
        <v>8</v>
      </c>
      <c r="B58" t="s">
        <v>276</v>
      </c>
      <c r="C58" t="s">
        <v>297</v>
      </c>
      <c r="D58" t="s">
        <v>298</v>
      </c>
      <c r="E58">
        <v>43.58314997270789</v>
      </c>
      <c r="F58" t="s">
        <v>301</v>
      </c>
      <c r="G58">
        <v>37.15720400790008</v>
      </c>
      <c r="H58">
        <v>6.425945964807809</v>
      </c>
      <c r="I58" t="s">
        <v>305</v>
      </c>
      <c r="J58" t="s">
        <v>308</v>
      </c>
      <c r="K58" t="s">
        <v>359</v>
      </c>
      <c r="L58">
        <f>-LLR/(nob42+nob43+nob44)</f>
        <v>0</v>
      </c>
      <c r="M58" t="s">
        <v>398</v>
      </c>
    </row>
    <row r="59" spans="1:13">
      <c r="A59" t="s">
        <v>8</v>
      </c>
      <c r="B59" t="s">
        <v>277</v>
      </c>
      <c r="C59" t="s">
        <v>297</v>
      </c>
      <c r="D59" t="s">
        <v>298</v>
      </c>
      <c r="E59">
        <v>11.76079223277248</v>
      </c>
      <c r="F59" t="s">
        <v>301</v>
      </c>
      <c r="G59">
        <v>16.6140161373185</v>
      </c>
      <c r="H59">
        <v>-4.85322390454602</v>
      </c>
      <c r="I59" t="s">
        <v>305</v>
      </c>
      <c r="J59" t="s">
        <v>308</v>
      </c>
      <c r="K59" t="s">
        <v>360</v>
      </c>
      <c r="L59">
        <f>nob66/nob65</f>
        <v>0</v>
      </c>
      <c r="M59" t="s">
        <v>399</v>
      </c>
    </row>
    <row r="60" spans="1:13">
      <c r="A60" t="s">
        <v>8</v>
      </c>
      <c r="B60" t="s">
        <v>278</v>
      </c>
      <c r="C60" t="s">
        <v>297</v>
      </c>
      <c r="D60" t="s">
        <v>298</v>
      </c>
      <c r="E60">
        <v>11.92673535175201</v>
      </c>
      <c r="F60" t="s">
        <v>301</v>
      </c>
      <c r="G60">
        <v>16.79809530149074</v>
      </c>
      <c r="H60">
        <v>-4.871359949738727</v>
      </c>
      <c r="I60" t="s">
        <v>305</v>
      </c>
      <c r="J60" t="s">
        <v>308</v>
      </c>
      <c r="K60" t="s">
        <v>361</v>
      </c>
      <c r="L60">
        <f>(nob66+nob69+nob70)/nob65</f>
        <v>0</v>
      </c>
      <c r="M60" t="s">
        <v>400</v>
      </c>
    </row>
    <row r="61" spans="1:13">
      <c r="A61" t="s">
        <v>8</v>
      </c>
      <c r="B61" t="s">
        <v>279</v>
      </c>
      <c r="C61" t="s">
        <v>297</v>
      </c>
      <c r="D61" t="s">
        <v>298</v>
      </c>
      <c r="E61">
        <v>125.0847411208718</v>
      </c>
      <c r="F61" t="s">
        <v>301</v>
      </c>
      <c r="G61">
        <v>116.9758165654762</v>
      </c>
      <c r="H61">
        <v>8.108924555395518</v>
      </c>
      <c r="I61" t="s">
        <v>305</v>
      </c>
      <c r="J61" t="s">
        <v>308</v>
      </c>
      <c r="K61" t="s">
        <v>362</v>
      </c>
      <c r="L61">
        <f>Loans/Deposits</f>
        <v>0</v>
      </c>
      <c r="M61" t="s">
        <v>401</v>
      </c>
    </row>
    <row r="62" spans="1:13">
      <c r="A62" t="s">
        <v>8</v>
      </c>
      <c r="B62" t="s">
        <v>280</v>
      </c>
      <c r="C62" t="s">
        <v>297</v>
      </c>
      <c r="D62" t="s">
        <v>298</v>
      </c>
      <c r="E62">
        <v>8.233734031409345</v>
      </c>
      <c r="F62" t="s">
        <v>301</v>
      </c>
      <c r="G62">
        <v>8.21755499111652</v>
      </c>
      <c r="H62">
        <v>0.0161790402928243</v>
      </c>
      <c r="I62" t="s">
        <v>305</v>
      </c>
      <c r="J62" t="s">
        <v>308</v>
      </c>
      <c r="K62" t="s">
        <v>363</v>
      </c>
      <c r="L62">
        <f>Equity/Assets</f>
        <v>0</v>
      </c>
      <c r="M62" t="s">
        <v>402</v>
      </c>
    </row>
    <row r="63" spans="1:13">
      <c r="A63" t="s">
        <v>8</v>
      </c>
      <c r="B63" t="s">
        <v>281</v>
      </c>
      <c r="C63" t="s">
        <v>297</v>
      </c>
      <c r="D63" t="s">
        <v>298</v>
      </c>
      <c r="E63">
        <v>3.956161804272074</v>
      </c>
      <c r="F63" t="s">
        <v>301</v>
      </c>
      <c r="G63">
        <v>9.893662354498623</v>
      </c>
      <c r="H63">
        <v>-5.93750055022655</v>
      </c>
      <c r="I63" t="s">
        <v>305</v>
      </c>
      <c r="J63" t="s">
        <v>308</v>
      </c>
      <c r="K63" t="s">
        <v>364</v>
      </c>
      <c r="L63">
        <f>Loans/Loans_PriorQ4-1</f>
        <v>0</v>
      </c>
      <c r="M63" t="s">
        <v>403</v>
      </c>
    </row>
    <row r="64" spans="1:13">
      <c r="A64" t="s">
        <v>8</v>
      </c>
      <c r="B64" t="s">
        <v>282</v>
      </c>
      <c r="C64" t="s">
        <v>297</v>
      </c>
      <c r="D64" t="s">
        <v>298</v>
      </c>
      <c r="E64">
        <v>7.764976788243283</v>
      </c>
      <c r="F64" t="s">
        <v>301</v>
      </c>
      <c r="G64">
        <v>10.16423566134936</v>
      </c>
      <c r="H64">
        <v>-2.399258873106081</v>
      </c>
      <c r="I64" t="s">
        <v>305</v>
      </c>
      <c r="J64" t="s">
        <v>308</v>
      </c>
      <c r="K64" t="s">
        <v>365</v>
      </c>
      <c r="L64">
        <f>Deposits/Deposits_PriorQ4-1</f>
        <v>0</v>
      </c>
      <c r="M64" t="s">
        <v>404</v>
      </c>
    </row>
    <row r="65" spans="1:13">
      <c r="A65" t="s">
        <v>8</v>
      </c>
      <c r="B65" t="s">
        <v>283</v>
      </c>
      <c r="C65" t="s">
        <v>297</v>
      </c>
      <c r="D65" t="s">
        <v>298</v>
      </c>
      <c r="E65">
        <v>11.51957526767358</v>
      </c>
      <c r="F65" t="s">
        <v>301</v>
      </c>
      <c r="G65">
        <v>27.66526814190113</v>
      </c>
      <c r="H65">
        <v>-16.14569287422756</v>
      </c>
      <c r="I65" t="s">
        <v>305</v>
      </c>
      <c r="J65" t="s">
        <v>308</v>
      </c>
      <c r="K65" t="s">
        <v>366</v>
      </c>
      <c r="L65">
        <f>Loans/Loans_4Qago-1</f>
        <v>0</v>
      </c>
      <c r="M65" t="s">
        <v>403</v>
      </c>
    </row>
    <row r="66" spans="1:13">
      <c r="A66" t="s">
        <v>8</v>
      </c>
      <c r="B66" t="s">
        <v>284</v>
      </c>
      <c r="C66" t="s">
        <v>297</v>
      </c>
      <c r="D66" t="s">
        <v>298</v>
      </c>
      <c r="E66">
        <v>4.290045796756981</v>
      </c>
      <c r="F66" t="s">
        <v>301</v>
      </c>
      <c r="G66">
        <v>22.92259675589255</v>
      </c>
      <c r="H66">
        <v>-18.63255095913556</v>
      </c>
      <c r="I66" t="s">
        <v>305</v>
      </c>
      <c r="J66" t="s">
        <v>308</v>
      </c>
      <c r="K66" t="s">
        <v>367</v>
      </c>
      <c r="L66">
        <f>Deposits/Deposits_4Qago-1</f>
        <v>0</v>
      </c>
      <c r="M66" t="s">
        <v>404</v>
      </c>
    </row>
    <row r="67" spans="1:13">
      <c r="A67" t="s">
        <v>8</v>
      </c>
      <c r="B67" t="s">
        <v>285</v>
      </c>
      <c r="C67" t="s">
        <v>297</v>
      </c>
      <c r="D67" t="s">
        <v>298</v>
      </c>
      <c r="E67">
        <v>14053.39421141392</v>
      </c>
      <c r="F67" t="s">
        <v>301</v>
      </c>
      <c r="G67">
        <v>14644.46775328</v>
      </c>
      <c r="H67">
        <v>-591.0735418660788</v>
      </c>
      <c r="I67" t="s">
        <v>306</v>
      </c>
      <c r="J67" t="s">
        <v>306</v>
      </c>
      <c r="K67" t="s">
        <v>368</v>
      </c>
      <c r="L67">
        <f>Equity/(Charter/10000)</f>
        <v>0</v>
      </c>
      <c r="M67" t="s">
        <v>405</v>
      </c>
    </row>
    <row r="68" spans="1:13">
      <c r="A68" t="s">
        <v>8</v>
      </c>
      <c r="B68" t="s">
        <v>286</v>
      </c>
      <c r="C68" t="s">
        <v>297</v>
      </c>
      <c r="D68" t="s">
        <v>298</v>
      </c>
      <c r="E68">
        <v>14053.39421141392</v>
      </c>
      <c r="F68" t="s">
        <v>301</v>
      </c>
      <c r="G68">
        <v>14644.46775328</v>
      </c>
      <c r="H68">
        <v>-591.0735418660788</v>
      </c>
      <c r="I68" t="s">
        <v>306</v>
      </c>
      <c r="J68" t="s">
        <v>306</v>
      </c>
      <c r="K68" t="s">
        <v>369</v>
      </c>
      <c r="L68">
        <f>(Equity-MI)/(Charter/10000)</f>
        <v>0</v>
      </c>
      <c r="M68" t="s">
        <v>406</v>
      </c>
    </row>
    <row r="69" spans="1:13">
      <c r="A69" t="s">
        <v>8</v>
      </c>
      <c r="B69" t="s">
        <v>287</v>
      </c>
      <c r="C69" t="s">
        <v>297</v>
      </c>
      <c r="D69" t="s">
        <v>298</v>
      </c>
      <c r="E69">
        <v>397083.447</v>
      </c>
      <c r="F69" t="s">
        <v>301</v>
      </c>
      <c r="G69">
        <v>356066.14</v>
      </c>
      <c r="H69">
        <v>11.51957526767358</v>
      </c>
      <c r="I69" t="s">
        <v>304</v>
      </c>
      <c r="J69" t="s">
        <v>307</v>
      </c>
      <c r="K69" t="s">
        <v>370</v>
      </c>
      <c r="L69">
        <f>Loans</f>
        <v>0</v>
      </c>
      <c r="M69" t="s">
        <v>403</v>
      </c>
    </row>
    <row r="70" spans="1:13">
      <c r="A70" t="s">
        <v>8</v>
      </c>
      <c r="B70" t="s">
        <v>288</v>
      </c>
      <c r="C70" t="s">
        <v>297</v>
      </c>
      <c r="D70" t="s">
        <v>298</v>
      </c>
      <c r="E70">
        <v>317451.548</v>
      </c>
      <c r="F70" t="s">
        <v>301</v>
      </c>
      <c r="G70">
        <v>304392.951</v>
      </c>
      <c r="H70">
        <v>4.290045796756981</v>
      </c>
      <c r="I70" t="s">
        <v>304</v>
      </c>
      <c r="J70" t="s">
        <v>307</v>
      </c>
      <c r="K70" t="s">
        <v>371</v>
      </c>
      <c r="L70">
        <f>Deposits</f>
        <v>0</v>
      </c>
      <c r="M70" t="s">
        <v>404</v>
      </c>
    </row>
    <row r="71" spans="1:13">
      <c r="A71" t="s">
        <v>8</v>
      </c>
      <c r="B71" t="s">
        <v>289</v>
      </c>
      <c r="C71" t="s">
        <v>297</v>
      </c>
      <c r="D71" t="s">
        <v>298</v>
      </c>
      <c r="E71">
        <v>580998.048</v>
      </c>
      <c r="F71" t="s">
        <v>301</v>
      </c>
      <c r="G71">
        <v>530909.024</v>
      </c>
      <c r="H71">
        <v>9.434577627371432</v>
      </c>
      <c r="I71" t="s">
        <v>304</v>
      </c>
      <c r="J71" t="s">
        <v>307</v>
      </c>
      <c r="K71" t="s">
        <v>372</v>
      </c>
      <c r="L71">
        <f>Assets</f>
        <v>0</v>
      </c>
      <c r="M71" t="s">
        <v>407</v>
      </c>
    </row>
    <row r="72" spans="1:13">
      <c r="A72" t="s">
        <v>8</v>
      </c>
      <c r="B72" t="s">
        <v>290</v>
      </c>
      <c r="C72" t="s">
        <v>297</v>
      </c>
      <c r="D72" t="s">
        <v>298</v>
      </c>
      <c r="E72">
        <v>47837.834</v>
      </c>
      <c r="F72" t="s">
        <v>301</v>
      </c>
      <c r="G72">
        <v>43627.741</v>
      </c>
      <c r="H72">
        <v>9.650036659014738</v>
      </c>
      <c r="I72" t="s">
        <v>304</v>
      </c>
      <c r="J72" t="s">
        <v>307</v>
      </c>
      <c r="K72" t="s">
        <v>373</v>
      </c>
      <c r="L72">
        <f>Equity</f>
        <v>0</v>
      </c>
      <c r="M72" t="s">
        <v>408</v>
      </c>
    </row>
    <row r="73" spans="1:13">
      <c r="A73" t="s">
        <v>8</v>
      </c>
      <c r="B73" t="s">
        <v>291</v>
      </c>
      <c r="C73" t="s">
        <v>297</v>
      </c>
      <c r="D73" t="s">
        <v>298</v>
      </c>
      <c r="E73">
        <v>47837.834</v>
      </c>
      <c r="F73" t="s">
        <v>301</v>
      </c>
      <c r="G73">
        <v>43627.741</v>
      </c>
      <c r="H73">
        <v>9.650036659014738</v>
      </c>
      <c r="I73" t="s">
        <v>304</v>
      </c>
      <c r="J73" t="s">
        <v>307</v>
      </c>
      <c r="K73" t="s">
        <v>374</v>
      </c>
      <c r="L73">
        <f>Equity_parent</f>
        <v>0</v>
      </c>
      <c r="M73" t="s">
        <v>409</v>
      </c>
    </row>
    <row r="74" spans="1:13">
      <c r="A74" t="s">
        <v>8</v>
      </c>
      <c r="B74" t="s">
        <v>292</v>
      </c>
      <c r="C74" t="s">
        <v>297</v>
      </c>
      <c r="D74" t="s">
        <v>298</v>
      </c>
      <c r="E74">
        <v>37970.7</v>
      </c>
      <c r="F74" t="s">
        <v>301</v>
      </c>
      <c r="G74">
        <v>29200</v>
      </c>
      <c r="H74">
        <v>30.03664383561644</v>
      </c>
      <c r="I74" t="s">
        <v>304</v>
      </c>
      <c r="J74" t="s">
        <v>307</v>
      </c>
      <c r="K74" t="s">
        <v>375</v>
      </c>
      <c r="L74">
        <f>Bonds</f>
        <v>0</v>
      </c>
      <c r="M74" t="s">
        <v>410</v>
      </c>
    </row>
    <row r="75" spans="1:13">
      <c r="A75" t="s">
        <v>8</v>
      </c>
      <c r="B75" t="s">
        <v>293</v>
      </c>
      <c r="C75" t="s">
        <v>297</v>
      </c>
      <c r="D75" t="s">
        <v>298</v>
      </c>
      <c r="E75">
        <v>12806.66329335733</v>
      </c>
      <c r="F75" t="s">
        <v>301</v>
      </c>
      <c r="I75" t="s">
        <v>306</v>
      </c>
      <c r="J75" t="s">
        <v>306</v>
      </c>
      <c r="K75" t="s">
        <v>376</v>
      </c>
      <c r="L75">
        <f>(Equity-MI)/Shares</f>
        <v>0</v>
      </c>
      <c r="M75" t="s">
        <v>411</v>
      </c>
    </row>
    <row r="76" spans="1:13">
      <c r="A76" t="s">
        <v>9</v>
      </c>
      <c r="B76" t="s">
        <v>257</v>
      </c>
      <c r="C76" t="s">
        <v>294</v>
      </c>
      <c r="D76" t="s">
        <v>298</v>
      </c>
      <c r="E76">
        <v>16893.654</v>
      </c>
      <c r="F76" t="s">
        <v>301</v>
      </c>
      <c r="G76">
        <v>12372.117</v>
      </c>
      <c r="H76">
        <v>36.54618688135587</v>
      </c>
      <c r="I76" t="s">
        <v>304</v>
      </c>
      <c r="J76" t="s">
        <v>307</v>
      </c>
      <c r="K76" t="s">
        <v>309</v>
      </c>
      <c r="L76">
        <f>NII</f>
        <v>0</v>
      </c>
      <c r="M76" t="s">
        <v>378</v>
      </c>
    </row>
    <row r="77" spans="1:13">
      <c r="A77" t="s">
        <v>9</v>
      </c>
      <c r="B77" t="s">
        <v>258</v>
      </c>
      <c r="C77" t="s">
        <v>294</v>
      </c>
      <c r="D77" t="s">
        <v>298</v>
      </c>
      <c r="E77">
        <v>1805.675</v>
      </c>
      <c r="F77" t="s">
        <v>301</v>
      </c>
      <c r="G77">
        <v>1915.543</v>
      </c>
      <c r="H77">
        <v>-5.735606039645158</v>
      </c>
      <c r="I77" t="s">
        <v>304</v>
      </c>
      <c r="J77" t="s">
        <v>307</v>
      </c>
      <c r="K77" t="s">
        <v>310</v>
      </c>
      <c r="L77">
        <f>Fee</f>
        <v>0</v>
      </c>
      <c r="M77" t="s">
        <v>379</v>
      </c>
    </row>
    <row r="78" spans="1:13">
      <c r="A78" t="s">
        <v>9</v>
      </c>
      <c r="B78" t="s">
        <v>259</v>
      </c>
      <c r="C78" t="s">
        <v>294</v>
      </c>
      <c r="D78" t="s">
        <v>298</v>
      </c>
      <c r="E78">
        <v>3540.66</v>
      </c>
      <c r="F78" t="s">
        <v>301</v>
      </c>
      <c r="G78">
        <v>4873.561</v>
      </c>
      <c r="H78">
        <v>-27.34963202471458</v>
      </c>
      <c r="I78" t="s">
        <v>304</v>
      </c>
      <c r="J78" t="s">
        <v>307</v>
      </c>
      <c r="K78" t="s">
        <v>311</v>
      </c>
      <c r="L78">
        <f>NonII</f>
        <v>0</v>
      </c>
      <c r="M78" t="s">
        <v>380</v>
      </c>
    </row>
    <row r="79" spans="1:13">
      <c r="A79" t="s">
        <v>9</v>
      </c>
      <c r="B79" t="s">
        <v>260</v>
      </c>
      <c r="C79" t="s">
        <v>294</v>
      </c>
      <c r="D79" t="s">
        <v>298</v>
      </c>
      <c r="E79">
        <v>20434.314</v>
      </c>
      <c r="F79" t="s">
        <v>301</v>
      </c>
      <c r="G79">
        <v>17245.678</v>
      </c>
      <c r="H79">
        <v>18.48947892915547</v>
      </c>
      <c r="I79" t="s">
        <v>304</v>
      </c>
      <c r="J79" t="s">
        <v>307</v>
      </c>
      <c r="K79" t="s">
        <v>312</v>
      </c>
      <c r="L79">
        <f>TOI</f>
        <v>0</v>
      </c>
      <c r="M79" t="s">
        <v>381</v>
      </c>
    </row>
    <row r="80" spans="1:13">
      <c r="A80" t="s">
        <v>9</v>
      </c>
      <c r="B80" t="s">
        <v>62</v>
      </c>
      <c r="C80" t="s">
        <v>294</v>
      </c>
      <c r="D80" t="s">
        <v>298</v>
      </c>
      <c r="E80">
        <v>-5627.359</v>
      </c>
      <c r="F80" t="s">
        <v>301</v>
      </c>
      <c r="G80">
        <v>-4956.47</v>
      </c>
      <c r="H80">
        <v>13.5356211174485</v>
      </c>
      <c r="I80" t="s">
        <v>304</v>
      </c>
      <c r="J80" t="s">
        <v>307</v>
      </c>
      <c r="K80" t="s">
        <v>313</v>
      </c>
      <c r="L80">
        <f>Opex</f>
        <v>0</v>
      </c>
      <c r="M80" t="s">
        <v>382</v>
      </c>
    </row>
    <row r="81" spans="1:13">
      <c r="A81" t="s">
        <v>9</v>
      </c>
      <c r="B81" t="s">
        <v>261</v>
      </c>
      <c r="C81" t="s">
        <v>294</v>
      </c>
      <c r="D81" t="s">
        <v>298</v>
      </c>
      <c r="E81">
        <v>14806.955</v>
      </c>
      <c r="F81" t="s">
        <v>301</v>
      </c>
      <c r="G81">
        <v>12289.208</v>
      </c>
      <c r="H81">
        <v>20.48746347201544</v>
      </c>
      <c r="I81" t="s">
        <v>304</v>
      </c>
      <c r="J81" t="s">
        <v>307</v>
      </c>
      <c r="K81" t="s">
        <v>314</v>
      </c>
      <c r="L81">
        <f>PPOP</f>
        <v>0</v>
      </c>
      <c r="M81" t="s">
        <v>383</v>
      </c>
    </row>
    <row r="82" spans="1:13">
      <c r="A82" t="s">
        <v>9</v>
      </c>
      <c r="B82" t="s">
        <v>262</v>
      </c>
      <c r="C82" t="s">
        <v>294</v>
      </c>
      <c r="D82" t="s">
        <v>298</v>
      </c>
      <c r="E82">
        <v>-4247.083</v>
      </c>
      <c r="F82" t="s">
        <v>301</v>
      </c>
      <c r="G82">
        <v>-4786.217</v>
      </c>
      <c r="H82">
        <v>-11.26430331094474</v>
      </c>
      <c r="I82" t="s">
        <v>304</v>
      </c>
      <c r="J82" t="s">
        <v>307</v>
      </c>
      <c r="K82" t="s">
        <v>315</v>
      </c>
      <c r="L82">
        <f>Prov</f>
        <v>0</v>
      </c>
      <c r="M82" t="s">
        <v>384</v>
      </c>
    </row>
    <row r="83" spans="1:13">
      <c r="A83" t="s">
        <v>9</v>
      </c>
      <c r="B83" t="s">
        <v>263</v>
      </c>
      <c r="C83" t="s">
        <v>294</v>
      </c>
      <c r="D83" t="s">
        <v>298</v>
      </c>
      <c r="E83">
        <v>10559.872</v>
      </c>
      <c r="F83" t="s">
        <v>301</v>
      </c>
      <c r="G83">
        <v>7502.991</v>
      </c>
      <c r="H83">
        <v>40.74216535778863</v>
      </c>
      <c r="I83" t="s">
        <v>304</v>
      </c>
      <c r="J83" t="s">
        <v>307</v>
      </c>
      <c r="K83" t="s">
        <v>316</v>
      </c>
      <c r="L83">
        <f>PBT</f>
        <v>0</v>
      </c>
      <c r="M83" t="s">
        <v>385</v>
      </c>
    </row>
    <row r="84" spans="1:13">
      <c r="A84" t="s">
        <v>9</v>
      </c>
      <c r="B84" t="s">
        <v>264</v>
      </c>
      <c r="C84" t="s">
        <v>294</v>
      </c>
      <c r="D84" t="s">
        <v>298</v>
      </c>
      <c r="E84">
        <v>8445.473</v>
      </c>
      <c r="F84" t="s">
        <v>301</v>
      </c>
      <c r="G84">
        <v>6004.706</v>
      </c>
      <c r="H84">
        <v>40.647568756905</v>
      </c>
      <c r="I84" t="s">
        <v>304</v>
      </c>
      <c r="J84" t="s">
        <v>307</v>
      </c>
      <c r="K84" t="s">
        <v>317</v>
      </c>
      <c r="L84">
        <f>NPAT</f>
        <v>0</v>
      </c>
      <c r="M84" t="s">
        <v>386</v>
      </c>
    </row>
    <row r="85" spans="1:13">
      <c r="A85" t="s">
        <v>9</v>
      </c>
      <c r="B85" t="s">
        <v>265</v>
      </c>
      <c r="C85" t="s">
        <v>294</v>
      </c>
      <c r="D85" t="s">
        <v>298</v>
      </c>
      <c r="E85">
        <v>8229.062</v>
      </c>
      <c r="F85" t="s">
        <v>301</v>
      </c>
      <c r="G85">
        <v>5877.605</v>
      </c>
      <c r="H85">
        <v>40.00706069904325</v>
      </c>
      <c r="I85" t="s">
        <v>304</v>
      </c>
      <c r="J85" t="s">
        <v>307</v>
      </c>
      <c r="K85" t="s">
        <v>318</v>
      </c>
      <c r="L85">
        <f>NPAT_parent</f>
        <v>0</v>
      </c>
      <c r="M85" t="s">
        <v>387</v>
      </c>
    </row>
    <row r="86" spans="1:13">
      <c r="A86" t="s">
        <v>9</v>
      </c>
      <c r="B86" t="s">
        <v>266</v>
      </c>
      <c r="C86" t="s">
        <v>294</v>
      </c>
      <c r="D86" t="s">
        <v>298</v>
      </c>
      <c r="E86">
        <v>4.145703477610869</v>
      </c>
      <c r="F86" t="s">
        <v>301</v>
      </c>
      <c r="G86">
        <v>4.136764063739784</v>
      </c>
      <c r="H86">
        <v>0.008939413871084699</v>
      </c>
      <c r="I86" t="s">
        <v>305</v>
      </c>
      <c r="J86" t="s">
        <v>308</v>
      </c>
      <c r="K86" t="s">
        <v>319</v>
      </c>
      <c r="L86">
        <f>NII*ann/AVERAGE(IEA)</f>
        <v>0</v>
      </c>
      <c r="M86" t="s">
        <v>388</v>
      </c>
    </row>
    <row r="87" spans="1:13">
      <c r="A87" t="s">
        <v>9</v>
      </c>
      <c r="B87" t="s">
        <v>267</v>
      </c>
      <c r="C87" t="s">
        <v>294</v>
      </c>
      <c r="D87" t="s">
        <v>298</v>
      </c>
      <c r="E87">
        <v>27.53877130399387</v>
      </c>
      <c r="F87" t="s">
        <v>301</v>
      </c>
      <c r="G87">
        <v>28.74036033839899</v>
      </c>
      <c r="H87">
        <v>-1.201589034405124</v>
      </c>
      <c r="I87" t="s">
        <v>305</v>
      </c>
      <c r="J87" t="s">
        <v>308</v>
      </c>
      <c r="K87" t="s">
        <v>320</v>
      </c>
      <c r="L87">
        <f>-Opex/TOI</f>
        <v>0</v>
      </c>
      <c r="M87" t="s">
        <v>389</v>
      </c>
    </row>
    <row r="88" spans="1:13">
      <c r="A88" t="s">
        <v>9</v>
      </c>
      <c r="B88" t="s">
        <v>268</v>
      </c>
      <c r="C88" t="s">
        <v>294</v>
      </c>
      <c r="D88" t="s">
        <v>298</v>
      </c>
      <c r="E88">
        <v>1.446974942378488</v>
      </c>
      <c r="F88" t="s">
        <v>301</v>
      </c>
      <c r="G88">
        <v>2.282649346203824</v>
      </c>
      <c r="H88">
        <v>-0.8356744038253356</v>
      </c>
      <c r="I88" t="s">
        <v>305</v>
      </c>
      <c r="J88" t="s">
        <v>308</v>
      </c>
      <c r="K88" t="s">
        <v>321</v>
      </c>
      <c r="L88">
        <f>-Prov*ann/AVERAGE(Loans)</f>
        <v>0</v>
      </c>
      <c r="M88" t="s">
        <v>390</v>
      </c>
    </row>
    <row r="89" spans="1:13">
      <c r="A89" t="s">
        <v>9</v>
      </c>
      <c r="B89" t="s">
        <v>269</v>
      </c>
      <c r="C89" t="s">
        <v>294</v>
      </c>
      <c r="D89" t="s">
        <v>298</v>
      </c>
      <c r="E89">
        <v>22.47447292147352</v>
      </c>
      <c r="F89" t="s">
        <v>301</v>
      </c>
      <c r="G89">
        <v>19.49239057114776</v>
      </c>
      <c r="H89">
        <v>2.982082350325751</v>
      </c>
      <c r="I89" t="s">
        <v>305</v>
      </c>
      <c r="J89" t="s">
        <v>308</v>
      </c>
      <c r="K89" t="s">
        <v>322</v>
      </c>
      <c r="L89">
        <f>NPAT_parent*ann/AVERAGE(Equity-MI)</f>
        <v>0</v>
      </c>
      <c r="M89" t="s">
        <v>391</v>
      </c>
    </row>
    <row r="90" spans="1:13">
      <c r="A90" t="s">
        <v>9</v>
      </c>
      <c r="B90" t="s">
        <v>270</v>
      </c>
      <c r="C90" t="s">
        <v>294</v>
      </c>
      <c r="D90" t="s">
        <v>298</v>
      </c>
      <c r="E90">
        <v>22.0430758196698</v>
      </c>
      <c r="F90" t="s">
        <v>301</v>
      </c>
      <c r="G90">
        <v>19.10196046529278</v>
      </c>
      <c r="H90">
        <v>2.941115354377015</v>
      </c>
      <c r="I90" t="s">
        <v>305</v>
      </c>
      <c r="J90" t="s">
        <v>308</v>
      </c>
      <c r="K90" t="s">
        <v>323</v>
      </c>
      <c r="L90">
        <f>NPAT*ann/AVERAGE(Equity)</f>
        <v>0</v>
      </c>
      <c r="M90" t="s">
        <v>392</v>
      </c>
    </row>
    <row r="91" spans="1:13">
      <c r="A91" t="s">
        <v>9</v>
      </c>
      <c r="B91" t="s">
        <v>271</v>
      </c>
      <c r="C91" t="s">
        <v>294</v>
      </c>
      <c r="D91" t="s">
        <v>298</v>
      </c>
      <c r="E91">
        <v>2.020305851517524</v>
      </c>
      <c r="F91" t="s">
        <v>301</v>
      </c>
      <c r="G91">
        <v>1.96347598653868</v>
      </c>
      <c r="H91">
        <v>0.0568298649788441</v>
      </c>
      <c r="I91" t="s">
        <v>305</v>
      </c>
      <c r="J91" t="s">
        <v>308</v>
      </c>
      <c r="K91" t="s">
        <v>324</v>
      </c>
      <c r="L91">
        <f>NPAT*ann/AVERAGE(Assets)</f>
        <v>0</v>
      </c>
      <c r="M91" t="s">
        <v>393</v>
      </c>
    </row>
    <row r="92" spans="1:13">
      <c r="A92" t="s">
        <v>9</v>
      </c>
      <c r="B92" t="s">
        <v>272</v>
      </c>
      <c r="C92" t="s">
        <v>294</v>
      </c>
      <c r="D92" t="s">
        <v>298</v>
      </c>
      <c r="E92">
        <v>20.02296050558189</v>
      </c>
      <c r="F92" t="s">
        <v>301</v>
      </c>
      <c r="G92">
        <v>19.9691696284855</v>
      </c>
      <c r="H92">
        <v>0.0537908770963895</v>
      </c>
      <c r="I92" t="s">
        <v>305</v>
      </c>
      <c r="J92" t="s">
        <v>308</v>
      </c>
      <c r="K92" t="s">
        <v>325</v>
      </c>
      <c r="L92">
        <f>-Tax/PBT</f>
        <v>0</v>
      </c>
      <c r="M92" t="s">
        <v>394</v>
      </c>
    </row>
    <row r="93" spans="1:13">
      <c r="A93" t="s">
        <v>9</v>
      </c>
      <c r="B93" t="s">
        <v>273</v>
      </c>
      <c r="C93" t="s">
        <v>294</v>
      </c>
      <c r="D93" t="s">
        <v>298</v>
      </c>
      <c r="E93">
        <v>8.836484552405333</v>
      </c>
      <c r="F93" t="s">
        <v>301</v>
      </c>
      <c r="G93">
        <v>11.10738006357303</v>
      </c>
      <c r="H93">
        <v>-2.270895511167696</v>
      </c>
      <c r="I93" t="s">
        <v>305</v>
      </c>
      <c r="J93" t="s">
        <v>308</v>
      </c>
      <c r="K93" t="s">
        <v>326</v>
      </c>
      <c r="L93">
        <f>Fee/TOI</f>
        <v>0</v>
      </c>
      <c r="M93" t="s">
        <v>395</v>
      </c>
    </row>
    <row r="94" spans="1:13">
      <c r="A94" t="s">
        <v>9</v>
      </c>
      <c r="B94" t="s">
        <v>257</v>
      </c>
      <c r="C94" t="s">
        <v>295</v>
      </c>
      <c r="D94" t="s">
        <v>299</v>
      </c>
      <c r="E94">
        <v>59352.587</v>
      </c>
      <c r="F94" t="s">
        <v>302</v>
      </c>
      <c r="G94">
        <v>45623.114</v>
      </c>
      <c r="H94">
        <v>30.09323958027064</v>
      </c>
      <c r="I94" t="s">
        <v>304</v>
      </c>
      <c r="J94" t="s">
        <v>307</v>
      </c>
      <c r="K94" t="s">
        <v>327</v>
      </c>
      <c r="L94">
        <f>SUM(NII range)</f>
        <v>0</v>
      </c>
      <c r="M94" t="s">
        <v>378</v>
      </c>
    </row>
    <row r="95" spans="1:13">
      <c r="A95" t="s">
        <v>9</v>
      </c>
      <c r="B95" t="s">
        <v>258</v>
      </c>
      <c r="C95" t="s">
        <v>295</v>
      </c>
      <c r="D95" t="s">
        <v>299</v>
      </c>
      <c r="E95">
        <v>6942.141</v>
      </c>
      <c r="F95" t="s">
        <v>302</v>
      </c>
      <c r="G95">
        <v>5219.74</v>
      </c>
      <c r="H95">
        <v>32.99783130960545</v>
      </c>
      <c r="I95" t="s">
        <v>304</v>
      </c>
      <c r="J95" t="s">
        <v>307</v>
      </c>
      <c r="K95" t="s">
        <v>328</v>
      </c>
      <c r="L95">
        <f>SUM(Fee range)</f>
        <v>0</v>
      </c>
      <c r="M95" t="s">
        <v>379</v>
      </c>
    </row>
    <row r="96" spans="1:13">
      <c r="A96" t="s">
        <v>9</v>
      </c>
      <c r="B96" t="s">
        <v>259</v>
      </c>
      <c r="C96" t="s">
        <v>295</v>
      </c>
      <c r="D96" t="s">
        <v>299</v>
      </c>
      <c r="E96">
        <v>13636.573</v>
      </c>
      <c r="F96" t="s">
        <v>302</v>
      </c>
      <c r="G96">
        <v>16212.537</v>
      </c>
      <c r="H96">
        <v>-15.88871624471851</v>
      </c>
      <c r="I96" t="s">
        <v>304</v>
      </c>
      <c r="J96" t="s">
        <v>307</v>
      </c>
      <c r="K96" t="s">
        <v>329</v>
      </c>
      <c r="L96">
        <f>SUM(NonII range)</f>
        <v>0</v>
      </c>
      <c r="M96" t="s">
        <v>380</v>
      </c>
    </row>
    <row r="97" spans="1:13">
      <c r="A97" t="s">
        <v>9</v>
      </c>
      <c r="B97" t="s">
        <v>260</v>
      </c>
      <c r="C97" t="s">
        <v>295</v>
      </c>
      <c r="D97" t="s">
        <v>299</v>
      </c>
      <c r="E97">
        <v>72989.16</v>
      </c>
      <c r="F97" t="s">
        <v>302</v>
      </c>
      <c r="G97">
        <v>61835.651</v>
      </c>
      <c r="H97">
        <v>18.03734386171498</v>
      </c>
      <c r="I97" t="s">
        <v>304</v>
      </c>
      <c r="J97" t="s">
        <v>307</v>
      </c>
      <c r="K97" t="s">
        <v>330</v>
      </c>
      <c r="L97">
        <f>SUM(TOI range)</f>
        <v>0</v>
      </c>
      <c r="M97" t="s">
        <v>381</v>
      </c>
    </row>
    <row r="98" spans="1:13">
      <c r="A98" t="s">
        <v>9</v>
      </c>
      <c r="B98" t="s">
        <v>62</v>
      </c>
      <c r="C98" t="s">
        <v>295</v>
      </c>
      <c r="D98" t="s">
        <v>299</v>
      </c>
      <c r="E98">
        <v>-20749.086</v>
      </c>
      <c r="F98" t="s">
        <v>302</v>
      </c>
      <c r="G98">
        <v>-17908.882</v>
      </c>
      <c r="H98">
        <v>15.85919210367235</v>
      </c>
      <c r="I98" t="s">
        <v>304</v>
      </c>
      <c r="J98" t="s">
        <v>307</v>
      </c>
      <c r="K98" t="s">
        <v>331</v>
      </c>
      <c r="L98">
        <f>SUM(Opex range)</f>
        <v>0</v>
      </c>
      <c r="M98" t="s">
        <v>382</v>
      </c>
    </row>
    <row r="99" spans="1:13">
      <c r="A99" t="s">
        <v>9</v>
      </c>
      <c r="B99" t="s">
        <v>261</v>
      </c>
      <c r="C99" t="s">
        <v>295</v>
      </c>
      <c r="D99" t="s">
        <v>299</v>
      </c>
      <c r="E99">
        <v>52240.074</v>
      </c>
      <c r="F99" t="s">
        <v>302</v>
      </c>
      <c r="G99">
        <v>43926.769</v>
      </c>
      <c r="H99">
        <v>18.925373272958</v>
      </c>
      <c r="I99" t="s">
        <v>304</v>
      </c>
      <c r="J99" t="s">
        <v>307</v>
      </c>
      <c r="K99" t="s">
        <v>332</v>
      </c>
      <c r="L99">
        <f>SUM(PPOP range)</f>
        <v>0</v>
      </c>
      <c r="M99" t="s">
        <v>383</v>
      </c>
    </row>
    <row r="100" spans="1:13">
      <c r="A100" t="s">
        <v>9</v>
      </c>
      <c r="B100" t="s">
        <v>262</v>
      </c>
      <c r="C100" t="s">
        <v>295</v>
      </c>
      <c r="D100" t="s">
        <v>299</v>
      </c>
      <c r="E100">
        <v>-13672.774</v>
      </c>
      <c r="F100" t="s">
        <v>302</v>
      </c>
      <c r="G100">
        <v>-12636.437</v>
      </c>
      <c r="H100">
        <v>8.201180443506351</v>
      </c>
      <c r="I100" t="s">
        <v>304</v>
      </c>
      <c r="J100" t="s">
        <v>307</v>
      </c>
      <c r="K100" t="s">
        <v>333</v>
      </c>
      <c r="L100">
        <f>SUM(Prov range)</f>
        <v>0</v>
      </c>
      <c r="M100" t="s">
        <v>384</v>
      </c>
    </row>
    <row r="101" spans="1:13">
      <c r="A101" t="s">
        <v>9</v>
      </c>
      <c r="B101" t="s">
        <v>263</v>
      </c>
      <c r="C101" t="s">
        <v>295</v>
      </c>
      <c r="D101" t="s">
        <v>299</v>
      </c>
      <c r="E101">
        <v>38567.3</v>
      </c>
      <c r="F101" t="s">
        <v>302</v>
      </c>
      <c r="G101">
        <v>31290.332</v>
      </c>
      <c r="H101">
        <v>23.2562824836758</v>
      </c>
      <c r="I101" t="s">
        <v>304</v>
      </c>
      <c r="J101" t="s">
        <v>307</v>
      </c>
      <c r="K101" t="s">
        <v>334</v>
      </c>
      <c r="L101">
        <f>SUM(PBT range)</f>
        <v>0</v>
      </c>
      <c r="M101" t="s">
        <v>385</v>
      </c>
    </row>
    <row r="102" spans="1:13">
      <c r="A102" t="s">
        <v>9</v>
      </c>
      <c r="B102" t="s">
        <v>264</v>
      </c>
      <c r="C102" t="s">
        <v>295</v>
      </c>
      <c r="D102" t="s">
        <v>299</v>
      </c>
      <c r="E102">
        <v>30851.586</v>
      </c>
      <c r="F102" t="s">
        <v>302</v>
      </c>
      <c r="G102">
        <v>24904.65</v>
      </c>
      <c r="H102">
        <v>23.87881781113166</v>
      </c>
      <c r="I102" t="s">
        <v>304</v>
      </c>
      <c r="J102" t="s">
        <v>307</v>
      </c>
      <c r="K102" t="s">
        <v>335</v>
      </c>
      <c r="L102">
        <f>SUM(NPAT range)</f>
        <v>0</v>
      </c>
      <c r="M102" t="s">
        <v>386</v>
      </c>
    </row>
    <row r="103" spans="1:13">
      <c r="A103" t="s">
        <v>9</v>
      </c>
      <c r="B103" t="s">
        <v>265</v>
      </c>
      <c r="C103" t="s">
        <v>295</v>
      </c>
      <c r="D103" t="s">
        <v>299</v>
      </c>
      <c r="E103">
        <v>30078.169</v>
      </c>
      <c r="F103" t="s">
        <v>302</v>
      </c>
      <c r="G103">
        <v>24519.655</v>
      </c>
      <c r="H103">
        <v>22.66962565337889</v>
      </c>
      <c r="I103" t="s">
        <v>304</v>
      </c>
      <c r="J103" t="s">
        <v>307</v>
      </c>
      <c r="K103" t="s">
        <v>336</v>
      </c>
      <c r="L103">
        <f>SUM(NPAT_parent range)</f>
        <v>0</v>
      </c>
      <c r="M103" t="s">
        <v>387</v>
      </c>
    </row>
    <row r="104" spans="1:13">
      <c r="A104" t="s">
        <v>9</v>
      </c>
      <c r="B104" t="s">
        <v>266</v>
      </c>
      <c r="C104" t="s">
        <v>295</v>
      </c>
      <c r="D104" t="s">
        <v>299</v>
      </c>
      <c r="E104">
        <v>4.015938222093594</v>
      </c>
      <c r="F104" t="s">
        <v>302</v>
      </c>
      <c r="G104">
        <v>4.176330404358078</v>
      </c>
      <c r="H104">
        <v>-0.1603921822644842</v>
      </c>
      <c r="I104" t="s">
        <v>305</v>
      </c>
      <c r="J104" t="s">
        <v>308</v>
      </c>
      <c r="K104" t="s">
        <v>337</v>
      </c>
      <c r="L104">
        <f>NII*ann/AVERAGE(IEA)</f>
        <v>0</v>
      </c>
      <c r="M104" t="s">
        <v>388</v>
      </c>
    </row>
    <row r="105" spans="1:13">
      <c r="A105" t="s">
        <v>9</v>
      </c>
      <c r="B105" t="s">
        <v>267</v>
      </c>
      <c r="C105" t="s">
        <v>295</v>
      </c>
      <c r="D105" t="s">
        <v>299</v>
      </c>
      <c r="E105">
        <v>28.4276267873202</v>
      </c>
      <c r="F105" t="s">
        <v>302</v>
      </c>
      <c r="G105">
        <v>28.96206591242971</v>
      </c>
      <c r="H105">
        <v>-0.5344391251095182</v>
      </c>
      <c r="I105" t="s">
        <v>305</v>
      </c>
      <c r="J105" t="s">
        <v>308</v>
      </c>
      <c r="K105" t="s">
        <v>320</v>
      </c>
      <c r="L105">
        <f>-Opex/TOI</f>
        <v>0</v>
      </c>
      <c r="M105" t="s">
        <v>389</v>
      </c>
    </row>
    <row r="106" spans="1:13">
      <c r="A106" t="s">
        <v>9</v>
      </c>
      <c r="B106" t="s">
        <v>268</v>
      </c>
      <c r="C106" t="s">
        <v>295</v>
      </c>
      <c r="D106" t="s">
        <v>299</v>
      </c>
      <c r="E106">
        <v>1.303777332577602</v>
      </c>
      <c r="F106" t="s">
        <v>302</v>
      </c>
      <c r="G106">
        <v>1.649707755239141</v>
      </c>
      <c r="H106">
        <v>-0.3459304226615385</v>
      </c>
      <c r="I106" t="s">
        <v>305</v>
      </c>
      <c r="J106" t="s">
        <v>308</v>
      </c>
      <c r="K106" t="s">
        <v>338</v>
      </c>
      <c r="L106">
        <f>-Prov*ann/AVERAGE(Loans)</f>
        <v>0</v>
      </c>
      <c r="M106" t="s">
        <v>390</v>
      </c>
    </row>
    <row r="107" spans="1:13">
      <c r="A107" t="s">
        <v>9</v>
      </c>
      <c r="B107" t="s">
        <v>269</v>
      </c>
      <c r="C107" t="s">
        <v>295</v>
      </c>
      <c r="D107" t="s">
        <v>299</v>
      </c>
      <c r="E107">
        <v>22.14404171611876</v>
      </c>
      <c r="F107" t="s">
        <v>302</v>
      </c>
      <c r="G107">
        <v>21.91894252780093</v>
      </c>
      <c r="H107">
        <v>0.2250991883178272</v>
      </c>
      <c r="I107" t="s">
        <v>305</v>
      </c>
      <c r="J107" t="s">
        <v>308</v>
      </c>
      <c r="K107" t="s">
        <v>339</v>
      </c>
      <c r="L107">
        <f>NPAT_parent*ann/AVERAGE(Equity-MI)</f>
        <v>0</v>
      </c>
      <c r="M107" t="s">
        <v>391</v>
      </c>
    </row>
    <row r="108" spans="1:13">
      <c r="A108" t="s">
        <v>9</v>
      </c>
      <c r="B108" t="s">
        <v>270</v>
      </c>
      <c r="C108" t="s">
        <v>295</v>
      </c>
      <c r="D108" t="s">
        <v>299</v>
      </c>
      <c r="E108">
        <v>21.74408205743117</v>
      </c>
      <c r="F108" t="s">
        <v>302</v>
      </c>
      <c r="G108">
        <v>21.367223830971</v>
      </c>
      <c r="H108">
        <v>0.3768582264601718</v>
      </c>
      <c r="I108" t="s">
        <v>305</v>
      </c>
      <c r="J108" t="s">
        <v>308</v>
      </c>
      <c r="K108" t="s">
        <v>340</v>
      </c>
      <c r="L108">
        <f>NPAT*ann/AVERAGE(Equity)</f>
        <v>0</v>
      </c>
      <c r="M108" t="s">
        <v>392</v>
      </c>
    </row>
    <row r="109" spans="1:13">
      <c r="A109" t="s">
        <v>9</v>
      </c>
      <c r="B109" t="s">
        <v>271</v>
      </c>
      <c r="C109" t="s">
        <v>295</v>
      </c>
      <c r="D109" t="s">
        <v>299</v>
      </c>
      <c r="E109">
        <v>2.035547344260212</v>
      </c>
      <c r="F109" t="s">
        <v>302</v>
      </c>
      <c r="G109">
        <v>2.226497396895982</v>
      </c>
      <c r="H109">
        <v>-0.1909500526357694</v>
      </c>
      <c r="I109" t="s">
        <v>305</v>
      </c>
      <c r="J109" t="s">
        <v>308</v>
      </c>
      <c r="K109" t="s">
        <v>341</v>
      </c>
      <c r="L109">
        <f>NPAT*ann/AVERAGE(Assets)</f>
        <v>0</v>
      </c>
      <c r="M109" t="s">
        <v>393</v>
      </c>
    </row>
    <row r="110" spans="1:13">
      <c r="A110" t="s">
        <v>9</v>
      </c>
      <c r="B110" t="s">
        <v>272</v>
      </c>
      <c r="C110" t="s">
        <v>295</v>
      </c>
      <c r="D110" t="s">
        <v>299</v>
      </c>
      <c r="E110">
        <v>20.00584432926339</v>
      </c>
      <c r="F110" t="s">
        <v>302</v>
      </c>
      <c r="G110">
        <v>20.40784354732957</v>
      </c>
      <c r="H110">
        <v>-0.4019992180661802</v>
      </c>
      <c r="I110" t="s">
        <v>305</v>
      </c>
      <c r="J110" t="s">
        <v>308</v>
      </c>
      <c r="K110" t="s">
        <v>325</v>
      </c>
      <c r="L110">
        <f>-Tax/PBT</f>
        <v>0</v>
      </c>
      <c r="M110" t="s">
        <v>394</v>
      </c>
    </row>
    <row r="111" spans="1:13">
      <c r="A111" t="s">
        <v>9</v>
      </c>
      <c r="B111" t="s">
        <v>273</v>
      </c>
      <c r="C111" t="s">
        <v>295</v>
      </c>
      <c r="D111" t="s">
        <v>299</v>
      </c>
      <c r="E111">
        <v>9.511194539024698</v>
      </c>
      <c r="F111" t="s">
        <v>302</v>
      </c>
      <c r="G111">
        <v>8.441311631052448</v>
      </c>
      <c r="H111">
        <v>1.06988290797225</v>
      </c>
      <c r="I111" t="s">
        <v>305</v>
      </c>
      <c r="J111" t="s">
        <v>308</v>
      </c>
      <c r="K111" t="s">
        <v>326</v>
      </c>
      <c r="L111">
        <f>Fee/TOI</f>
        <v>0</v>
      </c>
      <c r="M111" t="s">
        <v>395</v>
      </c>
    </row>
    <row r="112" spans="1:13">
      <c r="A112" t="s">
        <v>9</v>
      </c>
      <c r="B112" t="s">
        <v>257</v>
      </c>
      <c r="C112" t="s">
        <v>296</v>
      </c>
      <c r="D112" t="s">
        <v>300</v>
      </c>
      <c r="E112">
        <v>31806.771</v>
      </c>
      <c r="F112" t="s">
        <v>303</v>
      </c>
      <c r="G112">
        <v>24064.301</v>
      </c>
      <c r="H112">
        <v>32.17409057508049</v>
      </c>
      <c r="I112" t="s">
        <v>304</v>
      </c>
      <c r="J112" t="s">
        <v>307</v>
      </c>
      <c r="K112" t="s">
        <v>342</v>
      </c>
      <c r="L112">
        <f>SUM(NII range)</f>
        <v>0</v>
      </c>
      <c r="M112" t="s">
        <v>378</v>
      </c>
    </row>
    <row r="113" spans="1:13">
      <c r="A113" t="s">
        <v>9</v>
      </c>
      <c r="B113" t="s">
        <v>258</v>
      </c>
      <c r="C113" t="s">
        <v>296</v>
      </c>
      <c r="D113" t="s">
        <v>300</v>
      </c>
      <c r="E113">
        <v>3514.419</v>
      </c>
      <c r="F113" t="s">
        <v>303</v>
      </c>
      <c r="G113">
        <v>3150.959</v>
      </c>
      <c r="H113">
        <v>11.53490096189764</v>
      </c>
      <c r="I113" t="s">
        <v>304</v>
      </c>
      <c r="J113" t="s">
        <v>307</v>
      </c>
      <c r="K113" t="s">
        <v>343</v>
      </c>
      <c r="L113">
        <f>SUM(Fee range)</f>
        <v>0</v>
      </c>
      <c r="M113" t="s">
        <v>379</v>
      </c>
    </row>
    <row r="114" spans="1:13">
      <c r="A114" t="s">
        <v>9</v>
      </c>
      <c r="B114" t="s">
        <v>259</v>
      </c>
      <c r="C114" t="s">
        <v>296</v>
      </c>
      <c r="D114" t="s">
        <v>300</v>
      </c>
      <c r="E114">
        <v>6057.748999999998</v>
      </c>
      <c r="F114" t="s">
        <v>303</v>
      </c>
      <c r="G114">
        <v>8504.074000000001</v>
      </c>
      <c r="H114">
        <v>-28.76650650029624</v>
      </c>
      <c r="I114" t="s">
        <v>304</v>
      </c>
      <c r="J114" t="s">
        <v>307</v>
      </c>
      <c r="K114" t="s">
        <v>344</v>
      </c>
      <c r="L114">
        <f>SUM(NonII range)</f>
        <v>0</v>
      </c>
      <c r="M114" t="s">
        <v>380</v>
      </c>
    </row>
    <row r="115" spans="1:13">
      <c r="A115" t="s">
        <v>9</v>
      </c>
      <c r="B115" t="s">
        <v>260</v>
      </c>
      <c r="C115" t="s">
        <v>296</v>
      </c>
      <c r="D115" t="s">
        <v>300</v>
      </c>
      <c r="E115">
        <v>37864.52</v>
      </c>
      <c r="F115" t="s">
        <v>303</v>
      </c>
      <c r="G115">
        <v>32568.375</v>
      </c>
      <c r="H115">
        <v>16.26161882501045</v>
      </c>
      <c r="I115" t="s">
        <v>304</v>
      </c>
      <c r="J115" t="s">
        <v>307</v>
      </c>
      <c r="K115" t="s">
        <v>345</v>
      </c>
      <c r="L115">
        <f>SUM(TOI range)</f>
        <v>0</v>
      </c>
      <c r="M115" t="s">
        <v>381</v>
      </c>
    </row>
    <row r="116" spans="1:13">
      <c r="A116" t="s">
        <v>9</v>
      </c>
      <c r="B116" t="s">
        <v>62</v>
      </c>
      <c r="C116" t="s">
        <v>296</v>
      </c>
      <c r="D116" t="s">
        <v>300</v>
      </c>
      <c r="E116">
        <v>-9974.361000000001</v>
      </c>
      <c r="F116" t="s">
        <v>303</v>
      </c>
      <c r="G116">
        <v>-8906.428</v>
      </c>
      <c r="H116">
        <v>11.99058702321516</v>
      </c>
      <c r="I116" t="s">
        <v>304</v>
      </c>
      <c r="J116" t="s">
        <v>307</v>
      </c>
      <c r="K116" t="s">
        <v>346</v>
      </c>
      <c r="L116">
        <f>SUM(Opex range)</f>
        <v>0</v>
      </c>
      <c r="M116" t="s">
        <v>382</v>
      </c>
    </row>
    <row r="117" spans="1:13">
      <c r="A117" t="s">
        <v>9</v>
      </c>
      <c r="B117" t="s">
        <v>261</v>
      </c>
      <c r="C117" t="s">
        <v>296</v>
      </c>
      <c r="D117" t="s">
        <v>300</v>
      </c>
      <c r="E117">
        <v>27890.159</v>
      </c>
      <c r="F117" t="s">
        <v>303</v>
      </c>
      <c r="G117">
        <v>23661.947</v>
      </c>
      <c r="H117">
        <v>17.86924803778827</v>
      </c>
      <c r="I117" t="s">
        <v>304</v>
      </c>
      <c r="J117" t="s">
        <v>307</v>
      </c>
      <c r="K117" t="s">
        <v>347</v>
      </c>
      <c r="L117">
        <f>SUM(PPOP range)</f>
        <v>0</v>
      </c>
      <c r="M117" t="s">
        <v>383</v>
      </c>
    </row>
    <row r="118" spans="1:13">
      <c r="A118" t="s">
        <v>9</v>
      </c>
      <c r="B118" t="s">
        <v>262</v>
      </c>
      <c r="C118" t="s">
        <v>296</v>
      </c>
      <c r="D118" t="s">
        <v>300</v>
      </c>
      <c r="E118">
        <v>-7701.901</v>
      </c>
      <c r="F118" t="s">
        <v>303</v>
      </c>
      <c r="G118">
        <v>-7772.630999999999</v>
      </c>
      <c r="H118">
        <v>-0.9099878792650729</v>
      </c>
      <c r="I118" t="s">
        <v>304</v>
      </c>
      <c r="J118" t="s">
        <v>307</v>
      </c>
      <c r="K118" t="s">
        <v>348</v>
      </c>
      <c r="L118">
        <f>SUM(Prov range)</f>
        <v>0</v>
      </c>
      <c r="M118" t="s">
        <v>384</v>
      </c>
    </row>
    <row r="119" spans="1:13">
      <c r="A119" t="s">
        <v>9</v>
      </c>
      <c r="B119" t="s">
        <v>263</v>
      </c>
      <c r="C119" t="s">
        <v>296</v>
      </c>
      <c r="D119" t="s">
        <v>300</v>
      </c>
      <c r="E119">
        <v>20188.258</v>
      </c>
      <c r="F119" t="s">
        <v>303</v>
      </c>
      <c r="G119">
        <v>15889.316</v>
      </c>
      <c r="H119">
        <v>27.05555103819448</v>
      </c>
      <c r="I119" t="s">
        <v>304</v>
      </c>
      <c r="J119" t="s">
        <v>307</v>
      </c>
      <c r="K119" t="s">
        <v>349</v>
      </c>
      <c r="L119">
        <f>SUM(PBT range)</f>
        <v>0</v>
      </c>
      <c r="M119" t="s">
        <v>385</v>
      </c>
    </row>
    <row r="120" spans="1:13">
      <c r="A120" t="s">
        <v>9</v>
      </c>
      <c r="B120" t="s">
        <v>264</v>
      </c>
      <c r="C120" t="s">
        <v>296</v>
      </c>
      <c r="D120" t="s">
        <v>300</v>
      </c>
      <c r="E120">
        <v>16148.193</v>
      </c>
      <c r="F120" t="s">
        <v>303</v>
      </c>
      <c r="G120">
        <v>12679.585</v>
      </c>
      <c r="H120">
        <v>27.35584800291178</v>
      </c>
      <c r="I120" t="s">
        <v>304</v>
      </c>
      <c r="J120" t="s">
        <v>307</v>
      </c>
      <c r="K120" t="s">
        <v>350</v>
      </c>
      <c r="L120">
        <f>SUM(NPAT range)</f>
        <v>0</v>
      </c>
      <c r="M120" t="s">
        <v>386</v>
      </c>
    </row>
    <row r="121" spans="1:13">
      <c r="A121" t="s">
        <v>9</v>
      </c>
      <c r="B121" t="s">
        <v>265</v>
      </c>
      <c r="C121" t="s">
        <v>296</v>
      </c>
      <c r="D121" t="s">
        <v>300</v>
      </c>
      <c r="E121">
        <v>15744.575</v>
      </c>
      <c r="F121" t="s">
        <v>303</v>
      </c>
      <c r="G121">
        <v>12445.345</v>
      </c>
      <c r="H121">
        <v>26.50975123630563</v>
      </c>
      <c r="I121" t="s">
        <v>304</v>
      </c>
      <c r="J121" t="s">
        <v>307</v>
      </c>
      <c r="K121" t="s">
        <v>351</v>
      </c>
      <c r="L121">
        <f>SUM(NPAT_parent range)</f>
        <v>0</v>
      </c>
      <c r="M121" t="s">
        <v>387</v>
      </c>
    </row>
    <row r="122" spans="1:13">
      <c r="A122" t="s">
        <v>9</v>
      </c>
      <c r="B122" t="s">
        <v>266</v>
      </c>
      <c r="C122" t="s">
        <v>296</v>
      </c>
      <c r="D122" t="s">
        <v>300</v>
      </c>
      <c r="E122">
        <v>3.952464889615576</v>
      </c>
      <c r="F122" t="s">
        <v>303</v>
      </c>
      <c r="G122">
        <v>4.131227465100441</v>
      </c>
      <c r="H122">
        <v>-0.1787625754848645</v>
      </c>
      <c r="I122" t="s">
        <v>305</v>
      </c>
      <c r="J122" t="s">
        <v>308</v>
      </c>
      <c r="K122" t="s">
        <v>352</v>
      </c>
      <c r="L122">
        <f>NII*ann/AVERAGE(IEA)</f>
        <v>0</v>
      </c>
      <c r="M122" t="s">
        <v>388</v>
      </c>
    </row>
    <row r="123" spans="1:13">
      <c r="A123" t="s">
        <v>9</v>
      </c>
      <c r="B123" t="s">
        <v>267</v>
      </c>
      <c r="C123" t="s">
        <v>296</v>
      </c>
      <c r="D123" t="s">
        <v>300</v>
      </c>
      <c r="E123">
        <v>26.34223542250107</v>
      </c>
      <c r="F123" t="s">
        <v>303</v>
      </c>
      <c r="G123">
        <v>27.34686025937739</v>
      </c>
      <c r="H123">
        <v>-1.004624836876317</v>
      </c>
      <c r="I123" t="s">
        <v>305</v>
      </c>
      <c r="J123" t="s">
        <v>308</v>
      </c>
      <c r="K123" t="s">
        <v>320</v>
      </c>
      <c r="L123">
        <f>-Opex/TOI</f>
        <v>0</v>
      </c>
      <c r="M123" t="s">
        <v>389</v>
      </c>
    </row>
    <row r="124" spans="1:13">
      <c r="A124" t="s">
        <v>9</v>
      </c>
      <c r="B124" t="s">
        <v>268</v>
      </c>
      <c r="C124" t="s">
        <v>296</v>
      </c>
      <c r="D124" t="s">
        <v>300</v>
      </c>
      <c r="E124">
        <v>1.346432704988984</v>
      </c>
      <c r="F124" t="s">
        <v>303</v>
      </c>
      <c r="G124">
        <v>1.900334446461367</v>
      </c>
      <c r="H124">
        <v>-0.5539017414723826</v>
      </c>
      <c r="I124" t="s">
        <v>305</v>
      </c>
      <c r="J124" t="s">
        <v>308</v>
      </c>
      <c r="K124" t="s">
        <v>353</v>
      </c>
      <c r="L124">
        <f>-Prov*ann/AVERAGE(Loans)</f>
        <v>0</v>
      </c>
      <c r="M124" t="s">
        <v>390</v>
      </c>
    </row>
    <row r="125" spans="1:13">
      <c r="A125" t="s">
        <v>9</v>
      </c>
      <c r="B125" t="s">
        <v>269</v>
      </c>
      <c r="C125" t="s">
        <v>296</v>
      </c>
      <c r="D125" t="s">
        <v>300</v>
      </c>
      <c r="E125">
        <v>22.01744736473163</v>
      </c>
      <c r="F125" t="s">
        <v>303</v>
      </c>
      <c r="G125">
        <v>21.13109209058661</v>
      </c>
      <c r="H125">
        <v>0.8863552741450142</v>
      </c>
      <c r="I125" t="s">
        <v>305</v>
      </c>
      <c r="J125" t="s">
        <v>308</v>
      </c>
      <c r="K125" t="s">
        <v>354</v>
      </c>
      <c r="L125">
        <f>NPAT_parent*ann/AVERAGE(Equity-MI)</f>
        <v>0</v>
      </c>
      <c r="M125" t="s">
        <v>391</v>
      </c>
    </row>
    <row r="126" spans="1:13">
      <c r="A126" t="s">
        <v>9</v>
      </c>
      <c r="B126" t="s">
        <v>270</v>
      </c>
      <c r="C126" t="s">
        <v>296</v>
      </c>
      <c r="D126" t="s">
        <v>300</v>
      </c>
      <c r="E126">
        <v>21.60146507229451</v>
      </c>
      <c r="F126" t="s">
        <v>303</v>
      </c>
      <c r="G126">
        <v>20.64295751368538</v>
      </c>
      <c r="H126">
        <v>0.9585075586091244</v>
      </c>
      <c r="I126" t="s">
        <v>305</v>
      </c>
      <c r="J126" t="s">
        <v>308</v>
      </c>
      <c r="K126" t="s">
        <v>355</v>
      </c>
      <c r="L126">
        <f>NPAT*ann/AVERAGE(Equity)</f>
        <v>0</v>
      </c>
      <c r="M126" t="s">
        <v>392</v>
      </c>
    </row>
    <row r="127" spans="1:13">
      <c r="A127" t="s">
        <v>9</v>
      </c>
      <c r="B127" t="s">
        <v>271</v>
      </c>
      <c r="C127" t="s">
        <v>296</v>
      </c>
      <c r="D127" t="s">
        <v>300</v>
      </c>
      <c r="E127">
        <v>1.95341069835821</v>
      </c>
      <c r="F127" t="s">
        <v>303</v>
      </c>
      <c r="G127">
        <v>2.127826428546687</v>
      </c>
      <c r="H127">
        <v>-0.1744157301884767</v>
      </c>
      <c r="I127" t="s">
        <v>305</v>
      </c>
      <c r="J127" t="s">
        <v>308</v>
      </c>
      <c r="K127" t="s">
        <v>356</v>
      </c>
      <c r="L127">
        <f>NPAT*ann/AVERAGE(Assets)</f>
        <v>0</v>
      </c>
      <c r="M127" t="s">
        <v>393</v>
      </c>
    </row>
    <row r="128" spans="1:13">
      <c r="A128" t="s">
        <v>9</v>
      </c>
      <c r="B128" t="s">
        <v>272</v>
      </c>
      <c r="C128" t="s">
        <v>296</v>
      </c>
      <c r="D128" t="s">
        <v>300</v>
      </c>
      <c r="E128">
        <v>20.01195447373419</v>
      </c>
      <c r="F128" t="s">
        <v>303</v>
      </c>
      <c r="G128">
        <v>20.20056118211759</v>
      </c>
      <c r="H128">
        <v>-0.1886067083834035</v>
      </c>
      <c r="I128" t="s">
        <v>305</v>
      </c>
      <c r="J128" t="s">
        <v>308</v>
      </c>
      <c r="K128" t="s">
        <v>325</v>
      </c>
      <c r="L128">
        <f>-Tax/PBT</f>
        <v>0</v>
      </c>
      <c r="M128" t="s">
        <v>394</v>
      </c>
    </row>
    <row r="129" spans="1:13">
      <c r="A129" t="s">
        <v>9</v>
      </c>
      <c r="B129" t="s">
        <v>273</v>
      </c>
      <c r="C129" t="s">
        <v>296</v>
      </c>
      <c r="D129" t="s">
        <v>300</v>
      </c>
      <c r="E129">
        <v>9.281562264621339</v>
      </c>
      <c r="F129" t="s">
        <v>303</v>
      </c>
      <c r="G129">
        <v>9.674903952070068</v>
      </c>
      <c r="H129">
        <v>-0.3933416874487268</v>
      </c>
      <c r="I129" t="s">
        <v>305</v>
      </c>
      <c r="J129" t="s">
        <v>308</v>
      </c>
      <c r="K129" t="s">
        <v>326</v>
      </c>
      <c r="L129">
        <f>Fee/TOI</f>
        <v>0</v>
      </c>
      <c r="M129" t="s">
        <v>395</v>
      </c>
    </row>
    <row r="130" spans="1:13">
      <c r="A130" t="s">
        <v>9</v>
      </c>
      <c r="B130" t="s">
        <v>274</v>
      </c>
      <c r="C130" t="s">
        <v>297</v>
      </c>
      <c r="D130" t="s">
        <v>298</v>
      </c>
      <c r="E130">
        <v>1.449809546823069</v>
      </c>
      <c r="F130" t="s">
        <v>301</v>
      </c>
      <c r="G130">
        <v>1.6044357656025</v>
      </c>
      <c r="H130">
        <v>-0.1546262187794302</v>
      </c>
      <c r="I130" t="s">
        <v>305</v>
      </c>
      <c r="J130" t="s">
        <v>308</v>
      </c>
      <c r="K130" t="s">
        <v>357</v>
      </c>
      <c r="L130">
        <f>(nob42+nob43+nob44)/nob39</f>
        <v>0</v>
      </c>
      <c r="M130" t="s">
        <v>396</v>
      </c>
    </row>
    <row r="131" spans="1:13">
      <c r="A131" t="s">
        <v>9</v>
      </c>
      <c r="B131" t="s">
        <v>275</v>
      </c>
      <c r="C131" t="s">
        <v>297</v>
      </c>
      <c r="D131" t="s">
        <v>298</v>
      </c>
      <c r="E131">
        <v>0.9767177933562292</v>
      </c>
      <c r="F131" t="s">
        <v>301</v>
      </c>
      <c r="G131">
        <v>1.297912273119992</v>
      </c>
      <c r="H131">
        <v>-0.3211944797637631</v>
      </c>
      <c r="I131" t="s">
        <v>305</v>
      </c>
      <c r="J131" t="s">
        <v>308</v>
      </c>
      <c r="K131" t="s">
        <v>358</v>
      </c>
      <c r="L131">
        <f>nob41/nob39</f>
        <v>0</v>
      </c>
      <c r="M131" t="s">
        <v>397</v>
      </c>
    </row>
    <row r="132" spans="1:13">
      <c r="A132" t="s">
        <v>9</v>
      </c>
      <c r="B132" t="s">
        <v>276</v>
      </c>
      <c r="C132" t="s">
        <v>297</v>
      </c>
      <c r="D132" t="s">
        <v>298</v>
      </c>
      <c r="E132">
        <v>93.62640824102574</v>
      </c>
      <c r="F132" t="s">
        <v>301</v>
      </c>
      <c r="G132">
        <v>88.88634511292075</v>
      </c>
      <c r="H132">
        <v>4.740063128104993</v>
      </c>
      <c r="I132" t="s">
        <v>305</v>
      </c>
      <c r="J132" t="s">
        <v>308</v>
      </c>
      <c r="K132" t="s">
        <v>359</v>
      </c>
      <c r="L132">
        <f>-LLR/(nob42+nob43+nob44)</f>
        <v>0</v>
      </c>
      <c r="M132" t="s">
        <v>398</v>
      </c>
    </row>
    <row r="133" spans="1:13">
      <c r="A133" t="s">
        <v>9</v>
      </c>
      <c r="B133" t="s">
        <v>277</v>
      </c>
      <c r="C133" t="s">
        <v>297</v>
      </c>
      <c r="D133" t="s">
        <v>298</v>
      </c>
      <c r="E133">
        <v>33.62108225880862</v>
      </c>
      <c r="F133" t="s">
        <v>301</v>
      </c>
      <c r="G133">
        <v>36.93789135888788</v>
      </c>
      <c r="H133">
        <v>-3.316809100079261</v>
      </c>
      <c r="I133" t="s">
        <v>305</v>
      </c>
      <c r="J133" t="s">
        <v>308</v>
      </c>
      <c r="K133" t="s">
        <v>360</v>
      </c>
      <c r="L133">
        <f>nob66/nob65</f>
        <v>0</v>
      </c>
      <c r="M133" t="s">
        <v>399</v>
      </c>
    </row>
    <row r="134" spans="1:13">
      <c r="A134" t="s">
        <v>9</v>
      </c>
      <c r="B134" t="s">
        <v>278</v>
      </c>
      <c r="C134" t="s">
        <v>297</v>
      </c>
      <c r="D134" t="s">
        <v>298</v>
      </c>
      <c r="E134">
        <v>34.61029392998145</v>
      </c>
      <c r="F134" t="s">
        <v>301</v>
      </c>
      <c r="G134">
        <v>37.90188050812852</v>
      </c>
      <c r="H134">
        <v>-3.291586578147076</v>
      </c>
      <c r="I134" t="s">
        <v>305</v>
      </c>
      <c r="J134" t="s">
        <v>308</v>
      </c>
      <c r="K134" t="s">
        <v>361</v>
      </c>
      <c r="L134">
        <f>(nob66+nob69+nob70)/nob65</f>
        <v>0</v>
      </c>
      <c r="M134" t="s">
        <v>400</v>
      </c>
    </row>
    <row r="135" spans="1:13">
      <c r="A135" t="s">
        <v>9</v>
      </c>
      <c r="B135" t="s">
        <v>279</v>
      </c>
      <c r="C135" t="s">
        <v>297</v>
      </c>
      <c r="D135" t="s">
        <v>298</v>
      </c>
      <c r="E135">
        <v>127.3640711454238</v>
      </c>
      <c r="F135" t="s">
        <v>301</v>
      </c>
      <c r="G135">
        <v>112.3321336545711</v>
      </c>
      <c r="H135">
        <v>15.03193749085268</v>
      </c>
      <c r="I135" t="s">
        <v>305</v>
      </c>
      <c r="J135" t="s">
        <v>308</v>
      </c>
      <c r="K135" t="s">
        <v>362</v>
      </c>
      <c r="L135">
        <f>Loans/Deposits</f>
        <v>0</v>
      </c>
      <c r="M135" t="s">
        <v>401</v>
      </c>
    </row>
    <row r="136" spans="1:13">
      <c r="A136" t="s">
        <v>9</v>
      </c>
      <c r="B136" t="s">
        <v>280</v>
      </c>
      <c r="C136" t="s">
        <v>297</v>
      </c>
      <c r="D136" t="s">
        <v>298</v>
      </c>
      <c r="E136">
        <v>9.045672166012135</v>
      </c>
      <c r="F136" t="s">
        <v>301</v>
      </c>
      <c r="G136">
        <v>9.909992020683706</v>
      </c>
      <c r="H136">
        <v>-0.8643198546715709</v>
      </c>
      <c r="I136" t="s">
        <v>305</v>
      </c>
      <c r="J136" t="s">
        <v>308</v>
      </c>
      <c r="K136" t="s">
        <v>363</v>
      </c>
      <c r="L136">
        <f>Equity/Assets</f>
        <v>0</v>
      </c>
      <c r="M136" t="s">
        <v>402</v>
      </c>
    </row>
    <row r="137" spans="1:13">
      <c r="A137" t="s">
        <v>9</v>
      </c>
      <c r="B137" t="s">
        <v>281</v>
      </c>
      <c r="C137" t="s">
        <v>297</v>
      </c>
      <c r="D137" t="s">
        <v>298</v>
      </c>
      <c r="E137">
        <v>13.24100942956397</v>
      </c>
      <c r="F137" t="s">
        <v>301</v>
      </c>
      <c r="G137">
        <v>13.29165314322982</v>
      </c>
      <c r="H137">
        <v>-0.0506437136658508</v>
      </c>
      <c r="I137" t="s">
        <v>305</v>
      </c>
      <c r="J137" t="s">
        <v>308</v>
      </c>
      <c r="K137" t="s">
        <v>364</v>
      </c>
      <c r="L137">
        <f>Loans/Loans_PriorQ4-1</f>
        <v>0</v>
      </c>
      <c r="M137" t="s">
        <v>403</v>
      </c>
    </row>
    <row r="138" spans="1:13">
      <c r="A138" t="s">
        <v>9</v>
      </c>
      <c r="B138" t="s">
        <v>282</v>
      </c>
      <c r="C138" t="s">
        <v>297</v>
      </c>
      <c r="D138" t="s">
        <v>298</v>
      </c>
      <c r="E138">
        <v>4.606977767709464</v>
      </c>
      <c r="F138" t="s">
        <v>301</v>
      </c>
      <c r="G138">
        <v>9.681018747765924</v>
      </c>
      <c r="H138">
        <v>-5.07404098005646</v>
      </c>
      <c r="I138" t="s">
        <v>305</v>
      </c>
      <c r="J138" t="s">
        <v>308</v>
      </c>
      <c r="K138" t="s">
        <v>365</v>
      </c>
      <c r="L138">
        <f>Deposits/Deposits_PriorQ4-1</f>
        <v>0</v>
      </c>
      <c r="M138" t="s">
        <v>404</v>
      </c>
    </row>
    <row r="139" spans="1:13">
      <c r="A139" t="s">
        <v>9</v>
      </c>
      <c r="B139" t="s">
        <v>283</v>
      </c>
      <c r="C139" t="s">
        <v>297</v>
      </c>
      <c r="D139" t="s">
        <v>298</v>
      </c>
      <c r="E139">
        <v>39.51250173895608</v>
      </c>
      <c r="F139" t="s">
        <v>301</v>
      </c>
      <c r="G139">
        <v>30.5861890495754</v>
      </c>
      <c r="H139">
        <v>8.926312689380687</v>
      </c>
      <c r="I139" t="s">
        <v>305</v>
      </c>
      <c r="J139" t="s">
        <v>308</v>
      </c>
      <c r="K139" t="s">
        <v>366</v>
      </c>
      <c r="L139">
        <f>Loans/Loans_4Qago-1</f>
        <v>0</v>
      </c>
      <c r="M139" t="s">
        <v>403</v>
      </c>
    </row>
    <row r="140" spans="1:13">
      <c r="A140" t="s">
        <v>9</v>
      </c>
      <c r="B140" t="s">
        <v>284</v>
      </c>
      <c r="C140" t="s">
        <v>297</v>
      </c>
      <c r="D140" t="s">
        <v>298</v>
      </c>
      <c r="E140">
        <v>23.04676547226629</v>
      </c>
      <c r="F140" t="s">
        <v>301</v>
      </c>
      <c r="G140">
        <v>26.61971788137085</v>
      </c>
      <c r="H140">
        <v>-3.572952409104563</v>
      </c>
      <c r="I140" t="s">
        <v>305</v>
      </c>
      <c r="J140" t="s">
        <v>308</v>
      </c>
      <c r="K140" t="s">
        <v>367</v>
      </c>
      <c r="L140">
        <f>Deposits/Deposits_4Qago-1</f>
        <v>0</v>
      </c>
      <c r="M140" t="s">
        <v>404</v>
      </c>
    </row>
    <row r="141" spans="1:13">
      <c r="A141" t="s">
        <v>9</v>
      </c>
      <c r="B141" t="s">
        <v>285</v>
      </c>
      <c r="C141" t="s">
        <v>297</v>
      </c>
      <c r="D141" t="s">
        <v>298</v>
      </c>
      <c r="E141">
        <v>19461.53270591598</v>
      </c>
      <c r="F141" t="s">
        <v>301</v>
      </c>
      <c r="G141">
        <v>20943.61499118189</v>
      </c>
      <c r="H141">
        <v>-1482.082285265908</v>
      </c>
      <c r="I141" t="s">
        <v>306</v>
      </c>
      <c r="J141" t="s">
        <v>306</v>
      </c>
      <c r="K141" t="s">
        <v>368</v>
      </c>
      <c r="L141">
        <f>Equity/(Charter/10000)</f>
        <v>0</v>
      </c>
      <c r="M141" t="s">
        <v>405</v>
      </c>
    </row>
    <row r="142" spans="1:13">
      <c r="A142" t="s">
        <v>9</v>
      </c>
      <c r="B142" t="s">
        <v>286</v>
      </c>
      <c r="C142" t="s">
        <v>297</v>
      </c>
      <c r="D142" t="s">
        <v>298</v>
      </c>
      <c r="E142">
        <v>18539.66292414231</v>
      </c>
      <c r="F142" t="s">
        <v>301</v>
      </c>
      <c r="G142">
        <v>20097.98038032617</v>
      </c>
      <c r="H142">
        <v>-1558.31745618386</v>
      </c>
      <c r="I142" t="s">
        <v>306</v>
      </c>
      <c r="J142" t="s">
        <v>306</v>
      </c>
      <c r="K142" t="s">
        <v>369</v>
      </c>
      <c r="L142">
        <f>(Equity-MI)/(Charter/10000)</f>
        <v>0</v>
      </c>
      <c r="M142" t="s">
        <v>406</v>
      </c>
    </row>
    <row r="143" spans="1:13">
      <c r="A143" t="s">
        <v>9</v>
      </c>
      <c r="B143" t="s">
        <v>287</v>
      </c>
      <c r="C143" t="s">
        <v>297</v>
      </c>
      <c r="D143" t="s">
        <v>298</v>
      </c>
      <c r="E143">
        <v>1227554.477</v>
      </c>
      <c r="F143" t="s">
        <v>301</v>
      </c>
      <c r="G143">
        <v>879888.513</v>
      </c>
      <c r="H143">
        <v>39.51250173895608</v>
      </c>
      <c r="I143" t="s">
        <v>304</v>
      </c>
      <c r="J143" t="s">
        <v>307</v>
      </c>
      <c r="K143" t="s">
        <v>370</v>
      </c>
      <c r="L143">
        <f>Loans</f>
        <v>0</v>
      </c>
      <c r="M143" t="s">
        <v>403</v>
      </c>
    </row>
    <row r="144" spans="1:13">
      <c r="A144" t="s">
        <v>9</v>
      </c>
      <c r="B144" t="s">
        <v>288</v>
      </c>
      <c r="C144" t="s">
        <v>297</v>
      </c>
      <c r="D144" t="s">
        <v>298</v>
      </c>
      <c r="E144">
        <v>963815.357</v>
      </c>
      <c r="F144" t="s">
        <v>301</v>
      </c>
      <c r="G144">
        <v>783291.9080000001</v>
      </c>
      <c r="H144">
        <v>23.04676547226629</v>
      </c>
      <c r="I144" t="s">
        <v>304</v>
      </c>
      <c r="J144" t="s">
        <v>307</v>
      </c>
      <c r="K144" t="s">
        <v>371</v>
      </c>
      <c r="L144">
        <f>Deposits</f>
        <v>0</v>
      </c>
      <c r="M144" t="s">
        <v>404</v>
      </c>
    </row>
    <row r="145" spans="1:13">
      <c r="A145" t="s">
        <v>9</v>
      </c>
      <c r="B145" t="s">
        <v>289</v>
      </c>
      <c r="C145" t="s">
        <v>297</v>
      </c>
      <c r="D145" t="s">
        <v>298</v>
      </c>
      <c r="E145">
        <v>1733012.662</v>
      </c>
      <c r="F145" t="s">
        <v>301</v>
      </c>
      <c r="G145">
        <v>1289644.328</v>
      </c>
      <c r="H145">
        <v>34.37911712352368</v>
      </c>
      <c r="I145" t="s">
        <v>304</v>
      </c>
      <c r="J145" t="s">
        <v>307</v>
      </c>
      <c r="K145" t="s">
        <v>372</v>
      </c>
      <c r="L145">
        <f>Assets</f>
        <v>0</v>
      </c>
      <c r="M145" t="s">
        <v>407</v>
      </c>
    </row>
    <row r="146" spans="1:13">
      <c r="A146" t="s">
        <v>9</v>
      </c>
      <c r="B146" t="s">
        <v>290</v>
      </c>
      <c r="C146" t="s">
        <v>297</v>
      </c>
      <c r="D146" t="s">
        <v>298</v>
      </c>
      <c r="E146">
        <v>156762.644</v>
      </c>
      <c r="F146" t="s">
        <v>301</v>
      </c>
      <c r="G146">
        <v>127803.65</v>
      </c>
      <c r="H146">
        <v>22.65897257237959</v>
      </c>
      <c r="I146" t="s">
        <v>304</v>
      </c>
      <c r="J146" t="s">
        <v>307</v>
      </c>
      <c r="K146" t="s">
        <v>373</v>
      </c>
      <c r="L146">
        <f>Equity</f>
        <v>0</v>
      </c>
      <c r="M146" t="s">
        <v>408</v>
      </c>
    </row>
    <row r="147" spans="1:13">
      <c r="A147" t="s">
        <v>9</v>
      </c>
      <c r="B147" t="s">
        <v>291</v>
      </c>
      <c r="C147" t="s">
        <v>297</v>
      </c>
      <c r="D147" t="s">
        <v>298</v>
      </c>
      <c r="E147">
        <v>149336.983</v>
      </c>
      <c r="F147" t="s">
        <v>301</v>
      </c>
      <c r="G147">
        <v>122643.357</v>
      </c>
      <c r="H147">
        <v>21.76524408085143</v>
      </c>
      <c r="I147" t="s">
        <v>304</v>
      </c>
      <c r="J147" t="s">
        <v>307</v>
      </c>
      <c r="K147" t="s">
        <v>374</v>
      </c>
      <c r="L147">
        <f>Equity_parent</f>
        <v>0</v>
      </c>
      <c r="M147" t="s">
        <v>409</v>
      </c>
    </row>
    <row r="148" spans="1:13">
      <c r="A148" t="s">
        <v>9</v>
      </c>
      <c r="B148" t="s">
        <v>292</v>
      </c>
      <c r="C148" t="s">
        <v>297</v>
      </c>
      <c r="D148" t="s">
        <v>298</v>
      </c>
      <c r="E148">
        <v>233503.962</v>
      </c>
      <c r="F148" t="s">
        <v>301</v>
      </c>
      <c r="G148">
        <v>170267.177</v>
      </c>
      <c r="H148">
        <v>37.1397389175014</v>
      </c>
      <c r="I148" t="s">
        <v>304</v>
      </c>
      <c r="J148" t="s">
        <v>307</v>
      </c>
      <c r="K148" t="s">
        <v>375</v>
      </c>
      <c r="L148">
        <f>Bonds</f>
        <v>0</v>
      </c>
      <c r="M148" t="s">
        <v>410</v>
      </c>
    </row>
    <row r="149" spans="1:13">
      <c r="A149" t="s">
        <v>9</v>
      </c>
      <c r="B149" t="s">
        <v>293</v>
      </c>
      <c r="C149" t="s">
        <v>297</v>
      </c>
      <c r="D149" t="s">
        <v>298</v>
      </c>
      <c r="E149">
        <v>14831.73032458339</v>
      </c>
      <c r="F149" t="s">
        <v>301</v>
      </c>
      <c r="I149" t="s">
        <v>306</v>
      </c>
      <c r="J149" t="s">
        <v>306</v>
      </c>
      <c r="K149" t="s">
        <v>377</v>
      </c>
      <c r="L149">
        <f>(Equity-MI)/Shares</f>
        <v>0</v>
      </c>
      <c r="M149" t="s">
        <v>412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17"/>
  <sheetViews>
    <sheetView workbookViewId="0">
      <pane ySplit="1" topLeftCell="A2" activePane="bottomLeft" state="frozen"/>
      <selection pane="bottomLeft"/>
    </sheetView>
  </sheetViews>
  <sheetFormatPr defaultRowHeight="15"/>
  <cols>
    <col min="1" max="26" width="14.7109375" customWidth="1"/>
  </cols>
  <sheetData>
    <row r="1" spans="1:26">
      <c r="A1" s="2" t="s">
        <v>244</v>
      </c>
      <c r="B1" s="2" t="s">
        <v>413</v>
      </c>
      <c r="C1" s="2" t="s">
        <v>414</v>
      </c>
      <c r="D1" s="2" t="s">
        <v>415</v>
      </c>
      <c r="E1" s="2" t="s">
        <v>416</v>
      </c>
      <c r="F1" s="2" t="s">
        <v>417</v>
      </c>
      <c r="G1" s="2" t="s">
        <v>418</v>
      </c>
      <c r="H1" s="2" t="s">
        <v>419</v>
      </c>
      <c r="I1" s="2" t="s">
        <v>420</v>
      </c>
      <c r="J1" s="2" t="s">
        <v>421</v>
      </c>
      <c r="K1" s="2" t="s">
        <v>422</v>
      </c>
      <c r="L1" s="2" t="s">
        <v>423</v>
      </c>
      <c r="M1" s="2" t="s">
        <v>424</v>
      </c>
      <c r="N1" s="2" t="s">
        <v>425</v>
      </c>
      <c r="O1" s="2" t="s">
        <v>426</v>
      </c>
      <c r="P1" s="2" t="s">
        <v>427</v>
      </c>
      <c r="Q1" s="2" t="s">
        <v>428</v>
      </c>
      <c r="R1" s="2" t="s">
        <v>266</v>
      </c>
      <c r="S1" s="2" t="s">
        <v>429</v>
      </c>
      <c r="T1" s="2" t="s">
        <v>430</v>
      </c>
      <c r="U1" s="2" t="s">
        <v>431</v>
      </c>
      <c r="V1" s="2" t="s">
        <v>432</v>
      </c>
      <c r="W1" s="2" t="s">
        <v>433</v>
      </c>
      <c r="X1" s="2" t="s">
        <v>269</v>
      </c>
      <c r="Y1" s="2" t="s">
        <v>434</v>
      </c>
      <c r="Z1" s="2" t="s">
        <v>435</v>
      </c>
    </row>
    <row r="2" spans="1:26">
      <c r="A2" t="s">
        <v>8</v>
      </c>
      <c r="B2" t="s">
        <v>436</v>
      </c>
      <c r="C2" t="s">
        <v>442</v>
      </c>
      <c r="D2">
        <v>416905.4348000001</v>
      </c>
      <c r="E2">
        <v>38137.39</v>
      </c>
      <c r="F2">
        <v>4.117800960842739</v>
      </c>
      <c r="G2">
        <v>0.9519753566906488</v>
      </c>
      <c r="H2">
        <v>0.4729669693430439</v>
      </c>
      <c r="I2">
        <v>5.069776317533387</v>
      </c>
      <c r="J2">
        <v>-1.734233328828747</v>
      </c>
      <c r="K2">
        <v>3.335542988704641</v>
      </c>
      <c r="L2">
        <v>-1.181181771439934</v>
      </c>
      <c r="M2">
        <v>2.154361217264707</v>
      </c>
      <c r="N2">
        <v>-0.4308806866146423</v>
      </c>
      <c r="O2">
        <v>1.723480530650065</v>
      </c>
      <c r="P2">
        <v>0</v>
      </c>
      <c r="Q2">
        <v>1.723480530650065</v>
      </c>
      <c r="R2">
        <v>4.165667736026619</v>
      </c>
      <c r="S2">
        <v>98.85092191175244</v>
      </c>
      <c r="T2">
        <v>0.7999960808978397</v>
      </c>
      <c r="U2">
        <v>1</v>
      </c>
      <c r="V2">
        <v>10.93167190518282</v>
      </c>
      <c r="W2">
        <v>1.723480530650065</v>
      </c>
      <c r="X2">
        <v>18.84052369603688</v>
      </c>
      <c r="Y2">
        <v>18.84052369603689</v>
      </c>
      <c r="Z2">
        <v>-4.440892098500626E-16</v>
      </c>
    </row>
    <row r="3" spans="1:26">
      <c r="A3" t="s">
        <v>8</v>
      </c>
      <c r="B3" t="s">
        <v>437</v>
      </c>
      <c r="C3" t="s">
        <v>443</v>
      </c>
      <c r="D3">
        <v>438653.2886</v>
      </c>
      <c r="E3">
        <v>39301.8006</v>
      </c>
      <c r="F3">
        <v>3.81859943497982</v>
      </c>
      <c r="G3">
        <v>0.8705371871683718</v>
      </c>
      <c r="H3">
        <v>0.4024725326087525</v>
      </c>
      <c r="I3">
        <v>4.689136622148192</v>
      </c>
      <c r="J3">
        <v>-1.643961686236404</v>
      </c>
      <c r="K3">
        <v>3.045174935911788</v>
      </c>
      <c r="L3">
        <v>-0.992459902419617</v>
      </c>
      <c r="M3">
        <v>2.052715033492172</v>
      </c>
      <c r="N3">
        <v>-0.4103085618585739</v>
      </c>
      <c r="O3">
        <v>1.642406471633597</v>
      </c>
      <c r="P3">
        <v>0</v>
      </c>
      <c r="Q3">
        <v>1.642406471633597</v>
      </c>
      <c r="R3">
        <v>3.85358841840959</v>
      </c>
      <c r="S3">
        <v>99.09204150441651</v>
      </c>
      <c r="T3">
        <v>0.8001142120732957</v>
      </c>
      <c r="U3">
        <v>1</v>
      </c>
      <c r="V3">
        <v>11.16114991942634</v>
      </c>
      <c r="W3">
        <v>1.642406471633597</v>
      </c>
      <c r="X3">
        <v>18.33114485853861</v>
      </c>
      <c r="Y3">
        <v>18.33114485853861</v>
      </c>
      <c r="Z3">
        <v>-4.440892098500626E-16</v>
      </c>
    </row>
    <row r="4" spans="1:26">
      <c r="A4" t="s">
        <v>8</v>
      </c>
      <c r="B4" t="s">
        <v>438</v>
      </c>
      <c r="C4" t="s">
        <v>444</v>
      </c>
      <c r="D4">
        <v>455822.6472</v>
      </c>
      <c r="E4">
        <v>40442.663</v>
      </c>
      <c r="F4">
        <v>3.538597105492832</v>
      </c>
      <c r="G4">
        <v>0.8165390690574709</v>
      </c>
      <c r="H4">
        <v>0.3754519461708747</v>
      </c>
      <c r="I4">
        <v>4.355136174550301</v>
      </c>
      <c r="J4">
        <v>-1.557455524337976</v>
      </c>
      <c r="K4">
        <v>2.797680650212327</v>
      </c>
      <c r="L4">
        <v>-0.8400859464799317</v>
      </c>
      <c r="M4">
        <v>1.957594703732395</v>
      </c>
      <c r="N4">
        <v>-0.3912418592965426</v>
      </c>
      <c r="O4">
        <v>1.566352844435852</v>
      </c>
      <c r="P4">
        <v>0</v>
      </c>
      <c r="Q4">
        <v>1.566352844435852</v>
      </c>
      <c r="R4">
        <v>3.566611965396625</v>
      </c>
      <c r="S4">
        <v>99.21452459152846</v>
      </c>
      <c r="T4">
        <v>0.8001415417856454</v>
      </c>
      <c r="U4">
        <v>1</v>
      </c>
      <c r="V4">
        <v>11.27083662121854</v>
      </c>
      <c r="W4">
        <v>1.566352844435852</v>
      </c>
      <c r="X4">
        <v>17.65410700081743</v>
      </c>
      <c r="Y4">
        <v>17.65410700081743</v>
      </c>
      <c r="Z4">
        <v>-2.220446049250313E-16</v>
      </c>
    </row>
    <row r="5" spans="1:26">
      <c r="A5" t="s">
        <v>8</v>
      </c>
      <c r="B5" t="s">
        <v>301</v>
      </c>
      <c r="C5" t="s">
        <v>302</v>
      </c>
      <c r="D5">
        <v>479226.8890000001</v>
      </c>
      <c r="E5">
        <v>41485.0662</v>
      </c>
      <c r="F5">
        <v>3.293118220668122</v>
      </c>
      <c r="G5">
        <v>0.8655225938292455</v>
      </c>
      <c r="H5">
        <v>0.3635223815665317</v>
      </c>
      <c r="I5">
        <v>4.158640814497367</v>
      </c>
      <c r="J5">
        <v>-1.497966863875203</v>
      </c>
      <c r="K5">
        <v>2.660673950622165</v>
      </c>
      <c r="L5">
        <v>-0.6959238048931765</v>
      </c>
      <c r="M5">
        <v>1.964750145728989</v>
      </c>
      <c r="N5">
        <v>-0.3927811738460276</v>
      </c>
      <c r="O5">
        <v>1.571968971882961</v>
      </c>
      <c r="P5">
        <v>0</v>
      </c>
      <c r="Q5">
        <v>1.571968971882961</v>
      </c>
      <c r="R5">
        <v>3.316669523185331</v>
      </c>
      <c r="S5">
        <v>99.2899110884406</v>
      </c>
      <c r="T5">
        <v>0.8000859423780357</v>
      </c>
      <c r="U5">
        <v>1</v>
      </c>
      <c r="V5">
        <v>11.55179279911575</v>
      </c>
      <c r="W5">
        <v>1.571968971882961</v>
      </c>
      <c r="X5">
        <v>18.15905984983097</v>
      </c>
      <c r="Y5">
        <v>18.15905984983097</v>
      </c>
      <c r="Z5">
        <v>-4.440892098500626E-16</v>
      </c>
    </row>
    <row r="6" spans="1:26">
      <c r="A6" t="s">
        <v>8</v>
      </c>
      <c r="B6" t="s">
        <v>439</v>
      </c>
      <c r="C6" t="s">
        <v>445</v>
      </c>
      <c r="D6">
        <v>501746.407</v>
      </c>
      <c r="E6">
        <v>42866.9334</v>
      </c>
      <c r="F6">
        <v>3.14798347923197</v>
      </c>
      <c r="G6">
        <v>0.8381690314725067</v>
      </c>
      <c r="H6">
        <v>0.3838688176196546</v>
      </c>
      <c r="I6">
        <v>3.986152510704476</v>
      </c>
      <c r="J6">
        <v>-1.43808822531339</v>
      </c>
      <c r="K6">
        <v>2.548064285391086</v>
      </c>
      <c r="L6">
        <v>-0.6651513500524179</v>
      </c>
      <c r="M6">
        <v>1.882912935338668</v>
      </c>
      <c r="N6">
        <v>-0.3764471401585941</v>
      </c>
      <c r="O6">
        <v>1.506465795180074</v>
      </c>
      <c r="P6">
        <v>0</v>
      </c>
      <c r="Q6">
        <v>1.506465795180074</v>
      </c>
      <c r="R6">
        <v>3.171932696540138</v>
      </c>
      <c r="S6">
        <v>99.2449645185003</v>
      </c>
      <c r="T6">
        <v>0.8000719347701093</v>
      </c>
      <c r="U6">
        <v>1</v>
      </c>
      <c r="V6">
        <v>11.7047422617826</v>
      </c>
      <c r="W6">
        <v>1.506465795180074</v>
      </c>
      <c r="X6">
        <v>17.63279385877414</v>
      </c>
      <c r="Y6">
        <v>17.63279385877414</v>
      </c>
      <c r="Z6">
        <v>4.440892098500626E-16</v>
      </c>
    </row>
    <row r="7" spans="1:26">
      <c r="A7" t="s">
        <v>8</v>
      </c>
      <c r="B7" t="s">
        <v>440</v>
      </c>
      <c r="C7" t="s">
        <v>446</v>
      </c>
      <c r="D7">
        <v>523890.5764</v>
      </c>
      <c r="E7">
        <v>44259.4642</v>
      </c>
      <c r="F7">
        <v>3.071664336965157</v>
      </c>
      <c r="G7">
        <v>0.7471943906490929</v>
      </c>
      <c r="H7">
        <v>0.4018665528338371</v>
      </c>
      <c r="I7">
        <v>3.818858727614249</v>
      </c>
      <c r="J7">
        <v>-1.419190635397732</v>
      </c>
      <c r="K7">
        <v>2.399668092216518</v>
      </c>
      <c r="L7">
        <v>-0.6617830432881977</v>
      </c>
      <c r="M7">
        <v>1.737885048928321</v>
      </c>
      <c r="N7">
        <v>-0.3472454138230229</v>
      </c>
      <c r="O7">
        <v>1.390639635105297</v>
      </c>
      <c r="P7">
        <v>0</v>
      </c>
      <c r="Q7">
        <v>1.390639635105297</v>
      </c>
      <c r="R7">
        <v>3.102777012033958</v>
      </c>
      <c r="S7">
        <v>98.9972635820063</v>
      </c>
      <c r="T7">
        <v>0.8001908043128892</v>
      </c>
      <c r="U7">
        <v>1</v>
      </c>
      <c r="V7">
        <v>11.83680340170047</v>
      </c>
      <c r="W7">
        <v>1.390639635105297</v>
      </c>
      <c r="X7">
        <v>16.46072796335388</v>
      </c>
      <c r="Y7">
        <v>16.46072796335388</v>
      </c>
      <c r="Z7">
        <v>-2.220446049250313E-16</v>
      </c>
    </row>
    <row r="8" spans="1:26">
      <c r="A8" t="s">
        <v>8</v>
      </c>
      <c r="B8" t="s">
        <v>441</v>
      </c>
      <c r="C8" t="s">
        <v>447</v>
      </c>
      <c r="D8">
        <v>538088.0900000001</v>
      </c>
      <c r="E8">
        <v>45715.9166</v>
      </c>
      <c r="F8">
        <v>3.046641861186706</v>
      </c>
      <c r="G8">
        <v>0.9054660548238488</v>
      </c>
      <c r="H8">
        <v>0.6907959995918139</v>
      </c>
      <c r="I8">
        <v>3.952107916010554</v>
      </c>
      <c r="J8">
        <v>-1.399159940522006</v>
      </c>
      <c r="K8">
        <v>2.552947975488549</v>
      </c>
      <c r="L8">
        <v>-0.7899474229210313</v>
      </c>
      <c r="M8">
        <v>1.763000552567517</v>
      </c>
      <c r="N8">
        <v>-0.3524216638952183</v>
      </c>
      <c r="O8">
        <v>1.410578888672299</v>
      </c>
      <c r="P8">
        <v>0</v>
      </c>
      <c r="Q8">
        <v>1.410578888672299</v>
      </c>
      <c r="R8">
        <v>3.084895673353399</v>
      </c>
      <c r="S8">
        <v>98.7599641538247</v>
      </c>
      <c r="T8">
        <v>0.8001012175623118</v>
      </c>
      <c r="U8">
        <v>1</v>
      </c>
      <c r="V8">
        <v>11.77025705747307</v>
      </c>
      <c r="W8">
        <v>1.410578888672299</v>
      </c>
      <c r="X8">
        <v>16.60287611951764</v>
      </c>
      <c r="Y8">
        <v>16.60287611951764</v>
      </c>
      <c r="Z8">
        <v>0</v>
      </c>
    </row>
    <row r="9" spans="1:26">
      <c r="A9" t="s">
        <v>8</v>
      </c>
      <c r="B9" t="s">
        <v>298</v>
      </c>
      <c r="C9" t="s">
        <v>299</v>
      </c>
      <c r="D9">
        <v>555142.2242000001</v>
      </c>
      <c r="E9">
        <v>46554.83</v>
      </c>
      <c r="F9">
        <v>3.024971127750149</v>
      </c>
      <c r="G9">
        <v>0.8509264462467094</v>
      </c>
      <c r="H9">
        <v>0.7909746022882327</v>
      </c>
      <c r="I9">
        <v>3.875897573996857</v>
      </c>
      <c r="J9">
        <v>-1.32342788563551</v>
      </c>
      <c r="K9">
        <v>2.552469688361348</v>
      </c>
      <c r="L9">
        <v>-0.881912199536848</v>
      </c>
      <c r="M9">
        <v>1.670557488824501</v>
      </c>
      <c r="N9">
        <v>-0.3341230263421205</v>
      </c>
      <c r="O9">
        <v>1.33643446248238</v>
      </c>
      <c r="P9">
        <v>0</v>
      </c>
      <c r="Q9">
        <v>1.33643446248238</v>
      </c>
      <c r="R9">
        <v>3.069506866448584</v>
      </c>
      <c r="S9">
        <v>98.54909141317664</v>
      </c>
      <c r="T9">
        <v>0.7999930989640898</v>
      </c>
      <c r="U9">
        <v>1</v>
      </c>
      <c r="V9">
        <v>11.92448182497928</v>
      </c>
      <c r="W9">
        <v>1.33643446248238</v>
      </c>
      <c r="X9">
        <v>15.93628845814709</v>
      </c>
      <c r="Y9">
        <v>15.93628845814709</v>
      </c>
      <c r="Z9">
        <v>-2.220446049250313E-16</v>
      </c>
    </row>
    <row r="10" spans="1:26">
      <c r="A10" t="s">
        <v>9</v>
      </c>
      <c r="B10" t="s">
        <v>436</v>
      </c>
      <c r="C10" t="s">
        <v>442</v>
      </c>
      <c r="D10">
        <v>935781.0836</v>
      </c>
      <c r="E10">
        <v>96762.29979999999</v>
      </c>
      <c r="F10">
        <v>4.18618560329274</v>
      </c>
      <c r="G10">
        <v>1.221069564266195</v>
      </c>
      <c r="H10">
        <v>0.4961853879475023</v>
      </c>
      <c r="I10">
        <v>5.407255167558935</v>
      </c>
      <c r="J10">
        <v>-1.670968378613205</v>
      </c>
      <c r="K10">
        <v>3.736286788945732</v>
      </c>
      <c r="L10">
        <v>-0.8484874442486541</v>
      </c>
      <c r="M10">
        <v>2.887799344697077</v>
      </c>
      <c r="N10">
        <v>-0.5779930899214428</v>
      </c>
      <c r="O10">
        <v>2.309806254775633</v>
      </c>
      <c r="P10">
        <v>-0.0297891253505137</v>
      </c>
      <c r="Q10">
        <v>2.28001712942512</v>
      </c>
      <c r="R10">
        <v>4.304156765513946</v>
      </c>
      <c r="S10">
        <v>97.25913416615256</v>
      </c>
      <c r="T10">
        <v>0.7998499823116786</v>
      </c>
      <c r="U10">
        <v>0.987103193053996</v>
      </c>
      <c r="V10">
        <v>9.67092644071281</v>
      </c>
      <c r="W10">
        <v>2.28001712942512</v>
      </c>
      <c r="X10">
        <v>22.04987794223551</v>
      </c>
      <c r="Y10">
        <v>22.04987794223551</v>
      </c>
      <c r="Z10">
        <v>-4.440892098500626E-16</v>
      </c>
    </row>
    <row r="11" spans="1:26">
      <c r="A11" t="s">
        <v>9</v>
      </c>
      <c r="B11" t="s">
        <v>437</v>
      </c>
      <c r="C11" t="s">
        <v>443</v>
      </c>
      <c r="D11">
        <v>998365.189</v>
      </c>
      <c r="E11">
        <v>101622.3296</v>
      </c>
      <c r="F11">
        <v>4.121960526410141</v>
      </c>
      <c r="G11">
        <v>1.428435522104327</v>
      </c>
      <c r="H11">
        <v>0.4375401955245857</v>
      </c>
      <c r="I11">
        <v>5.550396048514467</v>
      </c>
      <c r="J11">
        <v>-1.703509916750513</v>
      </c>
      <c r="K11">
        <v>3.846886131763955</v>
      </c>
      <c r="L11">
        <v>-0.9592325639470988</v>
      </c>
      <c r="M11">
        <v>2.887653567816856</v>
      </c>
      <c r="N11">
        <v>-0.5887689259165466</v>
      </c>
      <c r="O11">
        <v>2.298884641900309</v>
      </c>
      <c r="P11">
        <v>-0.0318026913897135</v>
      </c>
      <c r="Q11">
        <v>2.267081950510596</v>
      </c>
      <c r="R11">
        <v>4.229493649719076</v>
      </c>
      <c r="S11">
        <v>97.45754144078032</v>
      </c>
      <c r="T11">
        <v>0.7961081853867701</v>
      </c>
      <c r="U11">
        <v>0.9861660342541482</v>
      </c>
      <c r="V11">
        <v>9.82426985220382</v>
      </c>
      <c r="W11">
        <v>2.267081950510596</v>
      </c>
      <c r="X11">
        <v>22.27242485887668</v>
      </c>
      <c r="Y11">
        <v>22.27242485887668</v>
      </c>
      <c r="Z11">
        <v>0</v>
      </c>
    </row>
    <row r="12" spans="1:26">
      <c r="A12" t="s">
        <v>9</v>
      </c>
      <c r="B12" t="s">
        <v>438</v>
      </c>
      <c r="C12" t="s">
        <v>444</v>
      </c>
      <c r="D12">
        <v>1040757.9</v>
      </c>
      <c r="E12">
        <v>106791.3776</v>
      </c>
      <c r="F12">
        <v>4.206752598274777</v>
      </c>
      <c r="G12">
        <v>1.435214760320339</v>
      </c>
      <c r="H12">
        <v>0.4476030400537915</v>
      </c>
      <c r="I12">
        <v>5.641967358595116</v>
      </c>
      <c r="J12">
        <v>-1.675982089590672</v>
      </c>
      <c r="K12">
        <v>3.965985269004444</v>
      </c>
      <c r="L12">
        <v>-0.9469986247522116</v>
      </c>
      <c r="M12">
        <v>3.018986644252232</v>
      </c>
      <c r="N12">
        <v>-0.6167058640631025</v>
      </c>
      <c r="O12">
        <v>2.402280780189129</v>
      </c>
      <c r="P12">
        <v>-0.032008212476696</v>
      </c>
      <c r="Q12">
        <v>2.370272567712433</v>
      </c>
      <c r="R12">
        <v>4.311070554454464</v>
      </c>
      <c r="S12">
        <v>97.58023082985966</v>
      </c>
      <c r="T12">
        <v>0.7957242158599037</v>
      </c>
      <c r="U12">
        <v>0.9866759070210868</v>
      </c>
      <c r="V12">
        <v>9.745710968335706</v>
      </c>
      <c r="W12">
        <v>2.370272567712433</v>
      </c>
      <c r="X12">
        <v>23.0999913611003</v>
      </c>
      <c r="Y12">
        <v>23.0999913611003</v>
      </c>
      <c r="Z12">
        <v>0</v>
      </c>
    </row>
    <row r="13" spans="1:26">
      <c r="A13" t="s">
        <v>9</v>
      </c>
      <c r="B13" t="s">
        <v>301</v>
      </c>
      <c r="C13" t="s">
        <v>302</v>
      </c>
      <c r="D13">
        <v>1118557.3374</v>
      </c>
      <c r="E13">
        <v>111865.1366</v>
      </c>
      <c r="F13">
        <v>4.078746120073505</v>
      </c>
      <c r="G13">
        <v>1.449414925629542</v>
      </c>
      <c r="H13">
        <v>0.466649301334242</v>
      </c>
      <c r="I13">
        <v>5.528161045703047</v>
      </c>
      <c r="J13">
        <v>-1.60106964580178</v>
      </c>
      <c r="K13">
        <v>3.927091399901266</v>
      </c>
      <c r="L13">
        <v>-1.129708471572179</v>
      </c>
      <c r="M13">
        <v>2.797382928329088</v>
      </c>
      <c r="N13">
        <v>-0.5708855314331068</v>
      </c>
      <c r="O13">
        <v>2.226497396895982</v>
      </c>
      <c r="P13">
        <v>-0.0344188882525138</v>
      </c>
      <c r="Q13">
        <v>2.192078508643468</v>
      </c>
      <c r="R13">
        <v>4.176330404358078</v>
      </c>
      <c r="S13">
        <v>97.66339645486998</v>
      </c>
      <c r="T13">
        <v>0.7959215645267043</v>
      </c>
      <c r="U13">
        <v>0.984541240290468</v>
      </c>
      <c r="V13">
        <v>9.999159446786928</v>
      </c>
      <c r="W13">
        <v>2.192078508643468</v>
      </c>
      <c r="X13">
        <v>21.91894252780093</v>
      </c>
      <c r="Y13">
        <v>21.91894252780093</v>
      </c>
      <c r="Z13">
        <v>0</v>
      </c>
    </row>
    <row r="14" spans="1:26">
      <c r="A14" t="s">
        <v>9</v>
      </c>
      <c r="B14" t="s">
        <v>439</v>
      </c>
      <c r="C14" t="s">
        <v>445</v>
      </c>
      <c r="D14">
        <v>1186548.4198</v>
      </c>
      <c r="E14">
        <v>117324.957</v>
      </c>
      <c r="F14">
        <v>4.061949954652833</v>
      </c>
      <c r="G14">
        <v>1.393249253392162</v>
      </c>
      <c r="H14">
        <v>0.4768681922777106</v>
      </c>
      <c r="I14">
        <v>5.455199208044996</v>
      </c>
      <c r="J14">
        <v>-1.57585216818642</v>
      </c>
      <c r="K14">
        <v>3.879347039858576</v>
      </c>
      <c r="L14">
        <v>-1.247144638437451</v>
      </c>
      <c r="M14">
        <v>2.632202401421125</v>
      </c>
      <c r="N14">
        <v>-0.5369109168822477</v>
      </c>
      <c r="O14">
        <v>2.095291484538877</v>
      </c>
      <c r="P14">
        <v>-0.0472905269297464</v>
      </c>
      <c r="Q14">
        <v>2.04800095760913</v>
      </c>
      <c r="R14">
        <v>4.15604924361326</v>
      </c>
      <c r="S14">
        <v>97.73584759360028</v>
      </c>
      <c r="T14">
        <v>0.7960221764890232</v>
      </c>
      <c r="U14">
        <v>0.9774300963475951</v>
      </c>
      <c r="V14">
        <v>10.11335056189281</v>
      </c>
      <c r="W14">
        <v>2.04800095760913</v>
      </c>
      <c r="X14">
        <v>20.71215163539331</v>
      </c>
      <c r="Y14">
        <v>20.71215163539331</v>
      </c>
      <c r="Z14">
        <v>-8.881784197001252E-16</v>
      </c>
    </row>
    <row r="15" spans="1:26">
      <c r="A15" t="s">
        <v>9</v>
      </c>
      <c r="B15" t="s">
        <v>440</v>
      </c>
      <c r="C15" t="s">
        <v>446</v>
      </c>
      <c r="D15">
        <v>1303937.3636</v>
      </c>
      <c r="E15">
        <v>123391.7836</v>
      </c>
      <c r="F15">
        <v>3.958021178065734</v>
      </c>
      <c r="G15">
        <v>1.233410319311445</v>
      </c>
      <c r="H15">
        <v>0.5045243110326346</v>
      </c>
      <c r="I15">
        <v>5.191431497377179</v>
      </c>
      <c r="J15">
        <v>-1.509363375067566</v>
      </c>
      <c r="K15">
        <v>3.682068122309614</v>
      </c>
      <c r="L15">
        <v>-1.05400032115469</v>
      </c>
      <c r="M15">
        <v>2.628067801154923</v>
      </c>
      <c r="N15">
        <v>-0.528045302804298</v>
      </c>
      <c r="O15">
        <v>2.100022498350625</v>
      </c>
      <c r="P15">
        <v>-0.0463242343429999</v>
      </c>
      <c r="Q15">
        <v>2.053698264007625</v>
      </c>
      <c r="R15">
        <v>4.055363952096038</v>
      </c>
      <c r="S15">
        <v>97.59965381208283</v>
      </c>
      <c r="T15">
        <v>0.7990747032583235</v>
      </c>
      <c r="U15">
        <v>0.9779410771173246</v>
      </c>
      <c r="V15">
        <v>10.56745696963894</v>
      </c>
      <c r="W15">
        <v>2.053698264007625</v>
      </c>
      <c r="X15">
        <v>21.70236803352277</v>
      </c>
      <c r="Y15">
        <v>21.70236803352277</v>
      </c>
      <c r="Z15">
        <v>0</v>
      </c>
    </row>
    <row r="16" spans="1:26">
      <c r="A16" t="s">
        <v>9</v>
      </c>
      <c r="B16" t="s">
        <v>441</v>
      </c>
      <c r="C16" t="s">
        <v>447</v>
      </c>
      <c r="D16">
        <v>1400421.704</v>
      </c>
      <c r="E16">
        <v>129678.887</v>
      </c>
      <c r="F16">
        <v>3.915324208657081</v>
      </c>
      <c r="G16">
        <v>1.068926163972106</v>
      </c>
      <c r="H16">
        <v>0.503563246689013</v>
      </c>
      <c r="I16">
        <v>4.984250372629187</v>
      </c>
      <c r="J16">
        <v>-1.433725066003404</v>
      </c>
      <c r="K16">
        <v>3.550525306625782</v>
      </c>
      <c r="L16">
        <v>-1.014830601340066</v>
      </c>
      <c r="M16">
        <v>2.535694705285716</v>
      </c>
      <c r="N16">
        <v>-0.5069615801955609</v>
      </c>
      <c r="O16">
        <v>2.028733125090155</v>
      </c>
      <c r="P16">
        <v>-0.0488500712353998</v>
      </c>
      <c r="Q16">
        <v>1.979883053854756</v>
      </c>
      <c r="R16">
        <v>4.012445272430639</v>
      </c>
      <c r="S16">
        <v>97.57950433764483</v>
      </c>
      <c r="T16">
        <v>0.800069945668622</v>
      </c>
      <c r="U16">
        <v>0.9759208983028612</v>
      </c>
      <c r="V16">
        <v>10.79914962564415</v>
      </c>
      <c r="W16">
        <v>1.979883053854756</v>
      </c>
      <c r="X16">
        <v>21.38105333985477</v>
      </c>
      <c r="Y16">
        <v>21.38105333985477</v>
      </c>
      <c r="Z16">
        <v>0</v>
      </c>
    </row>
    <row r="17" spans="1:26">
      <c r="A17" t="s">
        <v>9</v>
      </c>
      <c r="B17" t="s">
        <v>298</v>
      </c>
      <c r="C17" t="s">
        <v>299</v>
      </c>
      <c r="D17">
        <v>1515640.7974</v>
      </c>
      <c r="E17">
        <v>135829.6258</v>
      </c>
      <c r="F17">
        <v>3.916006160682409</v>
      </c>
      <c r="G17">
        <v>0.8997232737065936</v>
      </c>
      <c r="H17">
        <v>0.4580333949778118</v>
      </c>
      <c r="I17">
        <v>4.815729434389004</v>
      </c>
      <c r="J17">
        <v>-1.368997590695232</v>
      </c>
      <c r="K17">
        <v>3.446731843693771</v>
      </c>
      <c r="L17">
        <v>-0.902111768398878</v>
      </c>
      <c r="M17">
        <v>2.544620075294893</v>
      </c>
      <c r="N17">
        <v>-0.5090727310346812</v>
      </c>
      <c r="O17">
        <v>2.035547344260212</v>
      </c>
      <c r="P17">
        <v>-0.051029043380645</v>
      </c>
      <c r="Q17">
        <v>1.984518300879567</v>
      </c>
      <c r="R17">
        <v>4.015938222093594</v>
      </c>
      <c r="S17">
        <v>97.5116135785802</v>
      </c>
      <c r="T17">
        <v>0.7999415567073661</v>
      </c>
      <c r="U17">
        <v>0.9749310456843288</v>
      </c>
      <c r="V17">
        <v>11.15839632534716</v>
      </c>
      <c r="W17">
        <v>1.984518300879567</v>
      </c>
      <c r="X17">
        <v>22.14404171611876</v>
      </c>
      <c r="Y17">
        <v>22.14404171611876</v>
      </c>
      <c r="Z17">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E4"/>
  <sheetViews>
    <sheetView workbookViewId="0">
      <pane ySplit="1" topLeftCell="A2" activePane="bottomLeft" state="frozen"/>
      <selection pane="bottomLeft"/>
    </sheetView>
  </sheetViews>
  <sheetFormatPr defaultRowHeight="15"/>
  <cols>
    <col min="1" max="57" width="14.7109375" customWidth="1"/>
  </cols>
  <sheetData>
    <row r="1" spans="1:57">
      <c r="A1" s="2" t="s">
        <v>244</v>
      </c>
      <c r="B1" s="2" t="s">
        <v>448</v>
      </c>
      <c r="C1" s="2" t="s">
        <v>449</v>
      </c>
      <c r="D1" s="2" t="s">
        <v>450</v>
      </c>
      <c r="E1" s="2" t="s">
        <v>451</v>
      </c>
      <c r="F1" s="2" t="s">
        <v>452</v>
      </c>
      <c r="G1" s="2" t="s">
        <v>453</v>
      </c>
      <c r="H1" s="2" t="s">
        <v>454</v>
      </c>
      <c r="I1" s="2" t="s">
        <v>455</v>
      </c>
      <c r="J1" s="2" t="s">
        <v>456</v>
      </c>
      <c r="K1" s="2" t="s">
        <v>457</v>
      </c>
      <c r="L1" s="2" t="s">
        <v>458</v>
      </c>
      <c r="M1" s="2" t="s">
        <v>459</v>
      </c>
      <c r="N1" s="2" t="s">
        <v>460</v>
      </c>
      <c r="O1" s="2" t="s">
        <v>461</v>
      </c>
      <c r="P1" s="2" t="s">
        <v>462</v>
      </c>
      <c r="Q1" s="2" t="s">
        <v>463</v>
      </c>
      <c r="R1" s="2" t="s">
        <v>464</v>
      </c>
      <c r="S1" s="2" t="s">
        <v>465</v>
      </c>
      <c r="T1" s="2" t="s">
        <v>466</v>
      </c>
      <c r="U1" s="2" t="s">
        <v>467</v>
      </c>
      <c r="V1" s="2" t="s">
        <v>468</v>
      </c>
      <c r="W1" s="2" t="s">
        <v>469</v>
      </c>
      <c r="X1" s="2" t="s">
        <v>470</v>
      </c>
      <c r="Y1" s="2" t="s">
        <v>471</v>
      </c>
      <c r="Z1" s="2" t="s">
        <v>472</v>
      </c>
      <c r="AA1" s="2" t="s">
        <v>473</v>
      </c>
      <c r="AB1" s="2" t="s">
        <v>474</v>
      </c>
      <c r="AC1" s="2" t="s">
        <v>475</v>
      </c>
      <c r="AD1" s="2" t="s">
        <v>476</v>
      </c>
      <c r="AE1" s="2" t="s">
        <v>477</v>
      </c>
      <c r="AF1" s="2" t="s">
        <v>478</v>
      </c>
      <c r="AG1" s="2" t="s">
        <v>479</v>
      </c>
      <c r="AH1" s="2" t="s">
        <v>480</v>
      </c>
      <c r="AI1" s="2" t="s">
        <v>481</v>
      </c>
      <c r="AJ1" s="2" t="s">
        <v>482</v>
      </c>
      <c r="AK1" s="2" t="s">
        <v>483</v>
      </c>
      <c r="AL1" s="2" t="s">
        <v>484</v>
      </c>
      <c r="AM1" s="2" t="s">
        <v>485</v>
      </c>
      <c r="AN1" s="2" t="s">
        <v>486</v>
      </c>
      <c r="AO1" s="2" t="s">
        <v>487</v>
      </c>
      <c r="AP1" s="2" t="s">
        <v>488</v>
      </c>
      <c r="AQ1" s="2" t="s">
        <v>489</v>
      </c>
      <c r="AR1" s="2" t="s">
        <v>490</v>
      </c>
      <c r="AS1" s="2" t="s">
        <v>491</v>
      </c>
      <c r="AT1" s="2" t="s">
        <v>492</v>
      </c>
      <c r="AU1" s="2" t="s">
        <v>493</v>
      </c>
      <c r="AV1" s="2" t="s">
        <v>494</v>
      </c>
      <c r="AW1" s="2" t="s">
        <v>495</v>
      </c>
      <c r="AX1" s="2" t="s">
        <v>496</v>
      </c>
      <c r="AY1" s="2" t="s">
        <v>497</v>
      </c>
      <c r="AZ1" s="2" t="s">
        <v>498</v>
      </c>
      <c r="BA1" s="2" t="s">
        <v>499</v>
      </c>
      <c r="BB1" s="2" t="s">
        <v>500</v>
      </c>
      <c r="BC1" s="2" t="s">
        <v>501</v>
      </c>
      <c r="BD1" s="2" t="s">
        <v>502</v>
      </c>
      <c r="BE1" s="2" t="s">
        <v>503</v>
      </c>
    </row>
    <row r="2" spans="1:57">
      <c r="A2" t="s">
        <v>8</v>
      </c>
      <c r="B2" t="s">
        <v>504</v>
      </c>
      <c r="C2">
        <v>14200</v>
      </c>
      <c r="D2">
        <v>0.0557620817843866</v>
      </c>
      <c r="E2">
        <v>0.06504899225364361</v>
      </c>
      <c r="F2">
        <v>-0.0519700662886564</v>
      </c>
      <c r="G2">
        <v>-0.1674659775004748</v>
      </c>
      <c r="H2">
        <v>0.241793884952169</v>
      </c>
      <c r="I2">
        <v>-0.0760044872345465</v>
      </c>
      <c r="J2">
        <v>0.0748548958506316</v>
      </c>
      <c r="K2">
        <v>0.2414931328099295</v>
      </c>
      <c r="L2">
        <v>0.8188446112306812</v>
      </c>
      <c r="M2">
        <v>0.6947397689744105</v>
      </c>
      <c r="N2">
        <v>-0.8222878207998652</v>
      </c>
      <c r="O2">
        <v>-1.119280018706181</v>
      </c>
      <c r="P2">
        <v>0.2447600167711124</v>
      </c>
      <c r="Q2">
        <v>0.9294280127178344</v>
      </c>
      <c r="R2">
        <v>0.7002098308788508</v>
      </c>
      <c r="S2">
        <v>0.2353736708786851</v>
      </c>
      <c r="T2">
        <v>0.3427657448169895</v>
      </c>
      <c r="U2">
        <v>-0.3676024078696226</v>
      </c>
      <c r="V2" t="s">
        <v>505</v>
      </c>
      <c r="W2" t="s">
        <v>508</v>
      </c>
      <c r="X2">
        <v>-0.3050457593109186</v>
      </c>
      <c r="Y2">
        <v>20433</v>
      </c>
      <c r="Z2" t="s">
        <v>505</v>
      </c>
      <c r="AA2">
        <v>0.200572042940103</v>
      </c>
      <c r="AB2">
        <v>74.31534357142857</v>
      </c>
      <c r="AC2">
        <v>105.5488400793651</v>
      </c>
      <c r="AD2">
        <v>3735.386252</v>
      </c>
      <c r="AE2">
        <v>53.0424847784</v>
      </c>
      <c r="AF2">
        <v>35.30654089498125</v>
      </c>
      <c r="AG2">
        <v>4.989999973903636</v>
      </c>
      <c r="AH2">
        <v>3.828138</v>
      </c>
      <c r="AI2">
        <v>1.1431084798028</v>
      </c>
      <c r="AJ2">
        <v>42.699517</v>
      </c>
      <c r="AK2">
        <v>606.3331414</v>
      </c>
      <c r="AL2">
        <v>8.158922670083868</v>
      </c>
      <c r="AM2">
        <v>8.07621</v>
      </c>
      <c r="AN2">
        <v>0.0562916323987215</v>
      </c>
      <c r="AO2">
        <v>0.0391303968468574</v>
      </c>
      <c r="AP2">
        <v>3</v>
      </c>
      <c r="AQ2">
        <v>0.021050592837386</v>
      </c>
      <c r="AR2">
        <v>-0.0257357515317402</v>
      </c>
      <c r="AS2">
        <v>5</v>
      </c>
      <c r="AT2">
        <v>-0.0072007775361663</v>
      </c>
      <c r="AU2">
        <v>-0.1048104521290941</v>
      </c>
      <c r="AV2">
        <v>7</v>
      </c>
      <c r="AW2">
        <v>-0.070210114612677</v>
      </c>
      <c r="AX2">
        <v>-0.0913117176681511</v>
      </c>
      <c r="AY2">
        <v>8</v>
      </c>
      <c r="AZ2">
        <v>-0.1922812779585413</v>
      </c>
      <c r="BA2">
        <v>-0.1313225877010932</v>
      </c>
      <c r="BB2">
        <v>8</v>
      </c>
      <c r="BC2">
        <v>-0.3094568910448232</v>
      </c>
      <c r="BD2">
        <v>-0.6664634489563729</v>
      </c>
      <c r="BE2">
        <v>7</v>
      </c>
    </row>
    <row r="3" spans="1:57">
      <c r="A3" t="s">
        <v>9</v>
      </c>
      <c r="B3" t="s">
        <v>504</v>
      </c>
      <c r="C3">
        <v>19800</v>
      </c>
      <c r="D3">
        <v>-0.0025188916876573</v>
      </c>
      <c r="E3">
        <v>0.0779822132934806</v>
      </c>
      <c r="F3">
        <v>-0.0564396800472732</v>
      </c>
      <c r="G3">
        <v>-0.087775780815556</v>
      </c>
      <c r="H3">
        <v>1.098117734075233</v>
      </c>
      <c r="I3">
        <v>-0.0228746042148649</v>
      </c>
      <c r="J3">
        <v>0.2801964489489021</v>
      </c>
      <c r="K3">
        <v>0.267066662721811</v>
      </c>
      <c r="L3">
        <v>0.7991166967409918</v>
      </c>
      <c r="M3">
        <v>0.6130783438107141</v>
      </c>
      <c r="N3">
        <v>-0.3778239949962172</v>
      </c>
      <c r="O3">
        <v>-0.5500174709821932</v>
      </c>
      <c r="P3">
        <v>0.2611861524134671</v>
      </c>
      <c r="Q3">
        <v>0.9706312453226856</v>
      </c>
      <c r="R3">
        <v>0.6852626163155214</v>
      </c>
      <c r="S3">
        <v>0.9058904720253346</v>
      </c>
      <c r="T3">
        <v>1.389618804967248</v>
      </c>
      <c r="U3">
        <v>-0.2235552995312343</v>
      </c>
      <c r="V3" t="s">
        <v>506</v>
      </c>
      <c r="W3" t="s">
        <v>508</v>
      </c>
      <c r="X3">
        <v>-0.1475423387305097</v>
      </c>
      <c r="Y3">
        <v>23226.96</v>
      </c>
      <c r="Z3" t="s">
        <v>506</v>
      </c>
      <c r="AA3">
        <v>0.2330287743819266</v>
      </c>
      <c r="AB3">
        <v>251.813033015873</v>
      </c>
      <c r="AC3">
        <v>491.5732953571429</v>
      </c>
      <c r="AD3">
        <v>10068.749885</v>
      </c>
      <c r="AE3">
        <v>199.361247723</v>
      </c>
      <c r="AF3">
        <v>31.83009990395395</v>
      </c>
      <c r="AG3">
        <v>23.23509999473981</v>
      </c>
      <c r="AH3">
        <v>22.318855</v>
      </c>
      <c r="AI3">
        <v>0.8854044545570714</v>
      </c>
      <c r="AJ3">
        <v>89.14915999999999</v>
      </c>
      <c r="AK3">
        <v>1765.153368</v>
      </c>
      <c r="AL3">
        <v>7.009777638827509</v>
      </c>
      <c r="AM3">
        <v>-54.4419155</v>
      </c>
      <c r="AN3">
        <v>-0.0019893410733224</v>
      </c>
      <c r="AO3">
        <v>-0.0191505766251866</v>
      </c>
      <c r="AP3">
        <v>5</v>
      </c>
      <c r="AQ3">
        <v>0.033983813877223</v>
      </c>
      <c r="AR3">
        <v>-0.0128025304919032</v>
      </c>
      <c r="AS3">
        <v>4</v>
      </c>
      <c r="AT3">
        <v>-0.0116703912947832</v>
      </c>
      <c r="AU3">
        <v>-0.109280065887711</v>
      </c>
      <c r="AV3">
        <v>8</v>
      </c>
      <c r="AW3">
        <v>-0.0170802315929954</v>
      </c>
      <c r="AX3">
        <v>-0.0381818346484695</v>
      </c>
      <c r="AY3">
        <v>7</v>
      </c>
      <c r="AZ3">
        <v>-0.1125910812736225</v>
      </c>
      <c r="BA3">
        <v>-0.0516323910161743</v>
      </c>
      <c r="BB3">
        <v>6</v>
      </c>
      <c r="BC3">
        <v>0.546866958078241</v>
      </c>
      <c r="BD3">
        <v>0.1898604001666913</v>
      </c>
      <c r="BE3">
        <v>4</v>
      </c>
    </row>
    <row r="4" spans="1:57">
      <c r="A4" t="s">
        <v>84</v>
      </c>
      <c r="B4" t="s">
        <v>504</v>
      </c>
      <c r="C4">
        <v>1774.15</v>
      </c>
      <c r="D4">
        <v>-0.0005295506143349</v>
      </c>
      <c r="E4">
        <v>0.0439983994162576</v>
      </c>
      <c r="F4">
        <v>-0.04476928875249</v>
      </c>
      <c r="G4">
        <v>0.0248153004580664</v>
      </c>
      <c r="H4">
        <v>0.5512507759969922</v>
      </c>
      <c r="I4">
        <v>-0.0057943726218695</v>
      </c>
      <c r="J4">
        <v>0.1576057373773001</v>
      </c>
      <c r="K4">
        <v>0.204892211533419</v>
      </c>
      <c r="L4">
        <v>0.9999999999999996</v>
      </c>
      <c r="M4">
        <v>1</v>
      </c>
      <c r="N4">
        <v>0.0051642957190481</v>
      </c>
      <c r="O4">
        <v>0.0068931062181537</v>
      </c>
      <c r="P4">
        <v>0.1843966047978756</v>
      </c>
      <c r="Q4">
        <v>1</v>
      </c>
      <c r="R4">
        <v>1</v>
      </c>
      <c r="S4">
        <v>0.6452145661549016</v>
      </c>
      <c r="T4">
        <v>0.8762377437188776</v>
      </c>
      <c r="U4">
        <v>-0.1810725457620523</v>
      </c>
      <c r="V4" t="s">
        <v>507</v>
      </c>
      <c r="W4" t="s">
        <v>509</v>
      </c>
      <c r="X4">
        <v>-0.0797690799506208</v>
      </c>
      <c r="Y4">
        <v>1927.94</v>
      </c>
      <c r="Z4" t="s">
        <v>510</v>
      </c>
      <c r="AA4">
        <v>0.1597648450788515</v>
      </c>
      <c r="AB4">
        <v>16625.8591729043</v>
      </c>
      <c r="AC4">
        <v>23197.59540114034</v>
      </c>
      <c r="AN4">
        <v>0</v>
      </c>
      <c r="AO4">
        <v>-0.0171612355518641</v>
      </c>
      <c r="AQ4">
        <v>0</v>
      </c>
      <c r="AR4">
        <v>-0.0467863443691263</v>
      </c>
      <c r="AT4">
        <v>0</v>
      </c>
      <c r="AU4">
        <v>-0.0976096745929278</v>
      </c>
      <c r="AW4">
        <v>0</v>
      </c>
      <c r="AX4">
        <v>-0.0211016030554741</v>
      </c>
      <c r="AZ4">
        <v>0</v>
      </c>
      <c r="BA4">
        <v>0.0609586902574481</v>
      </c>
      <c r="BC4">
        <v>0</v>
      </c>
      <c r="BD4">
        <v>-0.3570065579115496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S4"/>
  <sheetViews>
    <sheetView workbookViewId="0">
      <pane ySplit="1" topLeftCell="A2" activePane="bottomLeft" state="frozen"/>
      <selection pane="bottomLeft"/>
    </sheetView>
  </sheetViews>
  <sheetFormatPr defaultRowHeight="15"/>
  <cols>
    <col min="1" max="45" width="14.7109375" customWidth="1"/>
  </cols>
  <sheetData>
    <row r="1" spans="1:45">
      <c r="A1" s="2" t="s">
        <v>244</v>
      </c>
      <c r="B1" s="2" t="s">
        <v>448</v>
      </c>
      <c r="C1" s="2" t="s">
        <v>449</v>
      </c>
      <c r="D1" s="2" t="s">
        <v>511</v>
      </c>
      <c r="E1" s="2" t="s">
        <v>512</v>
      </c>
      <c r="F1" s="2" t="s">
        <v>513</v>
      </c>
      <c r="G1" s="2" t="s">
        <v>514</v>
      </c>
      <c r="H1" s="2" t="s">
        <v>515</v>
      </c>
      <c r="I1" s="2" t="s">
        <v>516</v>
      </c>
      <c r="J1" s="2" t="s">
        <v>517</v>
      </c>
      <c r="K1" s="2" t="s">
        <v>518</v>
      </c>
      <c r="L1" s="2" t="s">
        <v>519</v>
      </c>
      <c r="M1" s="2" t="s">
        <v>520</v>
      </c>
      <c r="N1" s="2" t="s">
        <v>521</v>
      </c>
      <c r="O1" s="2" t="s">
        <v>522</v>
      </c>
      <c r="P1" s="2" t="s">
        <v>523</v>
      </c>
      <c r="Q1" s="2" t="s">
        <v>524</v>
      </c>
      <c r="R1" s="2" t="s">
        <v>525</v>
      </c>
      <c r="S1" s="2" t="s">
        <v>526</v>
      </c>
      <c r="T1" s="2" t="s">
        <v>527</v>
      </c>
      <c r="U1" s="2" t="s">
        <v>528</v>
      </c>
      <c r="V1" s="2" t="s">
        <v>529</v>
      </c>
      <c r="W1" s="2" t="s">
        <v>530</v>
      </c>
      <c r="X1" s="2" t="s">
        <v>531</v>
      </c>
      <c r="Y1" s="2" t="s">
        <v>532</v>
      </c>
      <c r="Z1" s="2" t="s">
        <v>533</v>
      </c>
      <c r="AA1" s="2" t="s">
        <v>534</v>
      </c>
      <c r="AB1" s="2" t="s">
        <v>535</v>
      </c>
      <c r="AC1" s="2" t="s">
        <v>536</v>
      </c>
      <c r="AD1" s="2" t="s">
        <v>537</v>
      </c>
      <c r="AE1" s="2" t="s">
        <v>538</v>
      </c>
      <c r="AF1" s="2" t="s">
        <v>539</v>
      </c>
      <c r="AG1" s="2" t="s">
        <v>540</v>
      </c>
      <c r="AH1" s="2" t="s">
        <v>541</v>
      </c>
      <c r="AI1" s="2" t="s">
        <v>542</v>
      </c>
      <c r="AJ1" s="2" t="s">
        <v>543</v>
      </c>
      <c r="AK1" s="2" t="s">
        <v>544</v>
      </c>
      <c r="AL1" s="2" t="s">
        <v>545</v>
      </c>
      <c r="AM1" s="2" t="s">
        <v>546</v>
      </c>
      <c r="AN1" s="2" t="s">
        <v>547</v>
      </c>
      <c r="AO1" s="2" t="s">
        <v>548</v>
      </c>
      <c r="AP1" s="2" t="s">
        <v>549</v>
      </c>
      <c r="AQ1" s="2" t="s">
        <v>550</v>
      </c>
      <c r="AR1" s="2" t="s">
        <v>551</v>
      </c>
      <c r="AS1" s="2" t="s">
        <v>552</v>
      </c>
    </row>
    <row r="2" spans="1:45">
      <c r="A2" t="s">
        <v>8</v>
      </c>
      <c r="B2" t="s">
        <v>504</v>
      </c>
      <c r="C2">
        <v>14200</v>
      </c>
      <c r="D2">
        <v>13692.5</v>
      </c>
      <c r="E2">
        <v>0.0370640861785649</v>
      </c>
      <c r="F2" t="b">
        <v>1</v>
      </c>
      <c r="G2">
        <v>0.012558760576312</v>
      </c>
      <c r="H2">
        <v>13540.7412</v>
      </c>
      <c r="I2">
        <v>0.0486870541473756</v>
      </c>
      <c r="J2" t="b">
        <v>1</v>
      </c>
      <c r="K2">
        <v>0.0063519479424944</v>
      </c>
      <c r="L2">
        <v>14385.93765</v>
      </c>
      <c r="M2">
        <v>-0.012924958700902</v>
      </c>
      <c r="N2" t="b">
        <v>0</v>
      </c>
      <c r="O2">
        <v>-0.0123796000746834</v>
      </c>
      <c r="P2" t="s">
        <v>553</v>
      </c>
      <c r="Q2" t="s">
        <v>554</v>
      </c>
      <c r="R2" t="s">
        <v>557</v>
      </c>
      <c r="S2" t="s">
        <v>559</v>
      </c>
      <c r="T2">
        <v>64.38516254429864</v>
      </c>
      <c r="U2" t="s">
        <v>562</v>
      </c>
      <c r="V2">
        <v>146.1542191420485</v>
      </c>
      <c r="W2">
        <v>97.7050703078164</v>
      </c>
      <c r="X2">
        <v>48.44914883423212</v>
      </c>
      <c r="Y2" t="s">
        <v>563</v>
      </c>
      <c r="Z2" t="s">
        <v>565</v>
      </c>
      <c r="AA2">
        <v>5.574837556621461</v>
      </c>
      <c r="AB2">
        <v>1.147975966392828</v>
      </c>
      <c r="AC2">
        <v>1.225727850335973</v>
      </c>
      <c r="AD2">
        <v>12921.78</v>
      </c>
      <c r="AE2">
        <v>16623.45</v>
      </c>
      <c r="AF2">
        <v>0.3453090091769388</v>
      </c>
      <c r="AG2">
        <v>12921.78</v>
      </c>
      <c r="AH2">
        <v>14200</v>
      </c>
      <c r="AI2">
        <v>14625</v>
      </c>
      <c r="AJ2">
        <v>13750</v>
      </c>
      <c r="AK2" t="s">
        <v>568</v>
      </c>
      <c r="AL2">
        <v>13250</v>
      </c>
      <c r="AM2" t="s">
        <v>571</v>
      </c>
      <c r="AN2">
        <v>14300</v>
      </c>
      <c r="AO2" t="s">
        <v>574</v>
      </c>
      <c r="AP2">
        <v>14600</v>
      </c>
      <c r="AQ2" t="s">
        <v>577</v>
      </c>
      <c r="AR2" t="s">
        <v>580</v>
      </c>
      <c r="AS2" t="s">
        <v>583</v>
      </c>
    </row>
    <row r="3" spans="1:45">
      <c r="A3" t="s">
        <v>9</v>
      </c>
      <c r="B3" t="s">
        <v>504</v>
      </c>
      <c r="C3">
        <v>19800</v>
      </c>
      <c r="D3">
        <v>19472.5</v>
      </c>
      <c r="E3">
        <v>0.0168185903196815</v>
      </c>
      <c r="F3" t="b">
        <v>1</v>
      </c>
      <c r="G3">
        <v>-0.0388696939782823</v>
      </c>
      <c r="H3">
        <v>19952</v>
      </c>
      <c r="I3">
        <v>-0.0076182838813151</v>
      </c>
      <c r="J3" t="b">
        <v>0</v>
      </c>
      <c r="K3">
        <v>0.0029707579632796</v>
      </c>
      <c r="L3">
        <v>20548.42785</v>
      </c>
      <c r="M3">
        <v>-0.036422633179696</v>
      </c>
      <c r="N3" t="b">
        <v>0</v>
      </c>
      <c r="O3">
        <v>-0.0020329294641745</v>
      </c>
      <c r="P3" t="s">
        <v>553</v>
      </c>
      <c r="Q3" t="s">
        <v>555</v>
      </c>
      <c r="R3" t="s">
        <v>558</v>
      </c>
      <c r="S3" t="s">
        <v>560</v>
      </c>
      <c r="T3">
        <v>52.67840072149606</v>
      </c>
      <c r="U3" t="s">
        <v>562</v>
      </c>
      <c r="V3">
        <v>-7.098802207307017</v>
      </c>
      <c r="W3">
        <v>-101.7798026719539</v>
      </c>
      <c r="X3">
        <v>94.68100046464689</v>
      </c>
      <c r="Y3" t="s">
        <v>564</v>
      </c>
      <c r="Z3" t="s">
        <v>566</v>
      </c>
      <c r="AA3">
        <v>22.79641459863016</v>
      </c>
      <c r="AB3">
        <v>0.9680205823045251</v>
      </c>
      <c r="AC3">
        <v>1.362191899646433</v>
      </c>
      <c r="AD3">
        <v>18034.45</v>
      </c>
      <c r="AE3">
        <v>23226.96</v>
      </c>
      <c r="AF3">
        <v>0.3400186037195883</v>
      </c>
      <c r="AG3">
        <v>18034.45</v>
      </c>
      <c r="AH3">
        <v>21050</v>
      </c>
      <c r="AI3">
        <v>20125</v>
      </c>
      <c r="AJ3">
        <v>19700</v>
      </c>
      <c r="AK3" t="s">
        <v>569</v>
      </c>
      <c r="AL3">
        <v>18900</v>
      </c>
      <c r="AM3" t="s">
        <v>572</v>
      </c>
      <c r="AN3">
        <v>19900</v>
      </c>
      <c r="AO3" t="s">
        <v>575</v>
      </c>
      <c r="AP3">
        <v>20500</v>
      </c>
      <c r="AQ3" t="s">
        <v>578</v>
      </c>
      <c r="AR3" t="s">
        <v>581</v>
      </c>
      <c r="AS3" t="s">
        <v>584</v>
      </c>
    </row>
    <row r="4" spans="1:45">
      <c r="A4" t="s">
        <v>84</v>
      </c>
      <c r="B4" t="s">
        <v>504</v>
      </c>
      <c r="C4">
        <v>1774.15</v>
      </c>
      <c r="D4">
        <v>1737.928</v>
      </c>
      <c r="E4">
        <v>0.0208420602004226</v>
      </c>
      <c r="F4" t="b">
        <v>1</v>
      </c>
      <c r="G4">
        <v>-0.0423533735712196</v>
      </c>
      <c r="H4">
        <v>1772.2196</v>
      </c>
      <c r="I4">
        <v>0.0010892555301837</v>
      </c>
      <c r="J4" t="b">
        <v>1</v>
      </c>
      <c r="K4">
        <v>-0.0008754223484365</v>
      </c>
      <c r="L4">
        <v>1796.64625</v>
      </c>
      <c r="M4">
        <v>-0.0125212461829923</v>
      </c>
      <c r="N4" t="b">
        <v>0</v>
      </c>
      <c r="O4">
        <v>0.0008412175310492</v>
      </c>
      <c r="P4" t="s">
        <v>553</v>
      </c>
      <c r="Q4" t="s">
        <v>556</v>
      </c>
      <c r="R4" t="s">
        <v>558</v>
      </c>
      <c r="S4" t="s">
        <v>561</v>
      </c>
      <c r="T4">
        <v>57.23534904882276</v>
      </c>
      <c r="U4" t="s">
        <v>562</v>
      </c>
      <c r="V4">
        <v>-12.11678265668252</v>
      </c>
      <c r="W4">
        <v>-17.97646516603936</v>
      </c>
      <c r="X4">
        <v>5.859682509356848</v>
      </c>
      <c r="Y4" t="s">
        <v>564</v>
      </c>
      <c r="Z4" t="s">
        <v>567</v>
      </c>
      <c r="AA4">
        <v>11.91950545246166</v>
      </c>
      <c r="AB4">
        <v>1.003613845777067</v>
      </c>
      <c r="AC4">
        <v>1.008934785944516</v>
      </c>
      <c r="AD4">
        <v>1580.54</v>
      </c>
      <c r="AE4">
        <v>1927.94</v>
      </c>
      <c r="AF4">
        <v>0.5573114565342547</v>
      </c>
      <c r="AG4">
        <v>1669.01</v>
      </c>
      <c r="AH4">
        <v>1853.08</v>
      </c>
      <c r="AI4">
        <v>1735</v>
      </c>
      <c r="AJ4">
        <v>1754</v>
      </c>
      <c r="AK4" t="s">
        <v>570</v>
      </c>
      <c r="AL4">
        <v>1727</v>
      </c>
      <c r="AM4" t="s">
        <v>573</v>
      </c>
      <c r="AN4">
        <v>1791</v>
      </c>
      <c r="AO4" t="s">
        <v>576</v>
      </c>
      <c r="AP4">
        <v>1853</v>
      </c>
      <c r="AQ4" t="s">
        <v>579</v>
      </c>
      <c r="AR4" t="s">
        <v>582</v>
      </c>
      <c r="AS4" t="s">
        <v>585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J3"/>
  <sheetViews>
    <sheetView workbookViewId="0">
      <pane ySplit="1" topLeftCell="A2" activePane="bottomLeft" state="frozen"/>
      <selection pane="bottomLeft"/>
    </sheetView>
  </sheetViews>
  <sheetFormatPr defaultRowHeight="15"/>
  <cols>
    <col min="1" max="62" width="14.7109375" customWidth="1"/>
  </cols>
  <sheetData>
    <row r="1" spans="1:62">
      <c r="A1" s="2" t="s">
        <v>244</v>
      </c>
      <c r="B1" s="2" t="s">
        <v>586</v>
      </c>
      <c r="C1" s="2" t="s">
        <v>587</v>
      </c>
      <c r="D1" s="2" t="s">
        <v>588</v>
      </c>
      <c r="E1" s="2" t="s">
        <v>589</v>
      </c>
      <c r="F1" s="2" t="s">
        <v>590</v>
      </c>
      <c r="G1" s="2" t="s">
        <v>591</v>
      </c>
      <c r="H1" s="2" t="s">
        <v>592</v>
      </c>
      <c r="I1" s="2" t="s">
        <v>593</v>
      </c>
      <c r="J1" s="2" t="s">
        <v>594</v>
      </c>
      <c r="K1" s="2" t="s">
        <v>595</v>
      </c>
      <c r="L1" s="2" t="s">
        <v>596</v>
      </c>
      <c r="M1" s="2" t="s">
        <v>597</v>
      </c>
      <c r="N1" s="2" t="s">
        <v>598</v>
      </c>
      <c r="O1" s="2" t="s">
        <v>599</v>
      </c>
      <c r="P1" s="2" t="s">
        <v>600</v>
      </c>
      <c r="Q1" s="2" t="s">
        <v>601</v>
      </c>
      <c r="R1" s="2" t="s">
        <v>602</v>
      </c>
      <c r="S1" s="2" t="s">
        <v>603</v>
      </c>
      <c r="T1" s="2" t="s">
        <v>604</v>
      </c>
      <c r="U1" s="2" t="s">
        <v>605</v>
      </c>
      <c r="V1" s="2" t="s">
        <v>606</v>
      </c>
      <c r="W1" s="2" t="s">
        <v>607</v>
      </c>
      <c r="X1" s="2" t="s">
        <v>608</v>
      </c>
      <c r="Y1" s="2" t="s">
        <v>609</v>
      </c>
      <c r="Z1" s="2" t="s">
        <v>610</v>
      </c>
      <c r="AA1" s="2" t="s">
        <v>611</v>
      </c>
      <c r="AB1" s="2" t="s">
        <v>612</v>
      </c>
      <c r="AC1" s="2" t="s">
        <v>613</v>
      </c>
      <c r="AD1" s="2" t="s">
        <v>614</v>
      </c>
      <c r="AE1" s="2" t="s">
        <v>615</v>
      </c>
      <c r="AF1" s="2" t="s">
        <v>616</v>
      </c>
      <c r="AG1" s="2" t="s">
        <v>476</v>
      </c>
      <c r="AH1" s="2" t="s">
        <v>477</v>
      </c>
      <c r="AI1" s="2" t="s">
        <v>617</v>
      </c>
      <c r="AJ1" s="2" t="s">
        <v>618</v>
      </c>
      <c r="AK1" s="2" t="s">
        <v>619</v>
      </c>
      <c r="AL1" s="2" t="s">
        <v>620</v>
      </c>
      <c r="AM1" s="2" t="s">
        <v>621</v>
      </c>
      <c r="AN1" s="2" t="s">
        <v>21</v>
      </c>
      <c r="AO1" s="2" t="s">
        <v>622</v>
      </c>
      <c r="AP1" s="2" t="s">
        <v>623</v>
      </c>
      <c r="AQ1" s="2" t="s">
        <v>624</v>
      </c>
      <c r="AR1" s="2" t="s">
        <v>463</v>
      </c>
      <c r="AS1" s="2" t="s">
        <v>625</v>
      </c>
      <c r="AT1" s="2" t="s">
        <v>626</v>
      </c>
      <c r="AU1" s="2" t="s">
        <v>627</v>
      </c>
      <c r="AV1" s="2" t="s">
        <v>628</v>
      </c>
      <c r="AW1" s="2" t="s">
        <v>629</v>
      </c>
      <c r="AX1" s="2" t="s">
        <v>630</v>
      </c>
      <c r="AY1" s="2" t="s">
        <v>631</v>
      </c>
      <c r="AZ1" s="2" t="s">
        <v>632</v>
      </c>
      <c r="BA1" s="2" t="s">
        <v>633</v>
      </c>
      <c r="BB1" s="2" t="s">
        <v>634</v>
      </c>
      <c r="BC1" s="2" t="s">
        <v>635</v>
      </c>
      <c r="BD1" s="2" t="s">
        <v>636</v>
      </c>
      <c r="BE1" s="2" t="s">
        <v>637</v>
      </c>
      <c r="BF1" s="2" t="s">
        <v>638</v>
      </c>
      <c r="BG1" s="2" t="s">
        <v>639</v>
      </c>
      <c r="BH1" s="2" t="s">
        <v>640</v>
      </c>
      <c r="BI1" s="2" t="s">
        <v>641</v>
      </c>
      <c r="BJ1" s="2" t="s">
        <v>642</v>
      </c>
    </row>
    <row r="2" spans="1:62">
      <c r="A2" t="s">
        <v>8</v>
      </c>
      <c r="B2" t="s">
        <v>504</v>
      </c>
      <c r="C2">
        <v>14200</v>
      </c>
      <c r="D2">
        <v>12806.66329335733</v>
      </c>
      <c r="E2">
        <v>1.108797793361631</v>
      </c>
      <c r="F2">
        <v>1986.16996998039</v>
      </c>
      <c r="G2">
        <v>7.149438474361891</v>
      </c>
      <c r="H2">
        <v>1.38581423425</v>
      </c>
      <c r="I2">
        <v>1.0892767055</v>
      </c>
      <c r="J2">
        <v>1.5779997237</v>
      </c>
      <c r="K2">
        <v>12</v>
      </c>
      <c r="L2">
        <v>0.1666666666666666</v>
      </c>
      <c r="M2">
        <v>-19.98943538332826</v>
      </c>
      <c r="N2">
        <v>7.472937464299999</v>
      </c>
      <c r="O2">
        <v>0.1568967032</v>
      </c>
      <c r="P2">
        <v>0.1593628845814709</v>
      </c>
      <c r="Q2">
        <v>0.1571776920653394</v>
      </c>
      <c r="R2">
        <v>0.14</v>
      </c>
      <c r="S2">
        <v>0.06</v>
      </c>
      <c r="T2">
        <v>1.21120879</v>
      </c>
      <c r="U2">
        <v>15511.54315148474</v>
      </c>
      <c r="V2">
        <v>9.236219376653088</v>
      </c>
      <c r="W2">
        <v>0.1464077524684755</v>
      </c>
      <c r="X2">
        <v>0.1473889755013224</v>
      </c>
      <c r="Y2">
        <v>0.1483701985341694</v>
      </c>
      <c r="Z2">
        <v>0.1188542410174267</v>
      </c>
      <c r="AA2">
        <v>0.1487038234689305</v>
      </c>
      <c r="AB2">
        <v>1.390097952116797</v>
      </c>
      <c r="AC2">
        <v>-0.281300158755166</v>
      </c>
      <c r="AD2">
        <v>-20.23599547980134</v>
      </c>
      <c r="AE2">
        <v>0.1473446343156876</v>
      </c>
      <c r="AF2">
        <v>3.117256654398123</v>
      </c>
      <c r="AG2">
        <v>3735.386252</v>
      </c>
      <c r="AH2">
        <v>53.0424847784</v>
      </c>
      <c r="AI2">
        <v>0.0132200732</v>
      </c>
      <c r="AJ2">
        <v>0.0304094941</v>
      </c>
      <c r="AK2">
        <v>0.3174164546</v>
      </c>
      <c r="AL2">
        <v>0.0292555811</v>
      </c>
      <c r="AM2">
        <v>0.4358314997</v>
      </c>
      <c r="AN2">
        <v>0.1192673535</v>
      </c>
      <c r="AO2">
        <v>0.08233734030000001</v>
      </c>
      <c r="AP2" t="s">
        <v>643</v>
      </c>
      <c r="AQ2" t="s">
        <v>644</v>
      </c>
      <c r="AR2">
        <v>0.9294280127178344</v>
      </c>
      <c r="AS2">
        <v>1.326119552485094</v>
      </c>
      <c r="AT2">
        <v>1.351507584875154</v>
      </c>
      <c r="AU2">
        <v>0.1385703614159214</v>
      </c>
      <c r="AV2" t="s">
        <v>645</v>
      </c>
      <c r="AW2">
        <v>7419.112</v>
      </c>
      <c r="AX2">
        <v>47837.834</v>
      </c>
      <c r="AY2">
        <v>0</v>
      </c>
      <c r="AZ2">
        <v>0.1866710061269889</v>
      </c>
      <c r="BA2">
        <v>12806.66329335733</v>
      </c>
      <c r="BB2">
        <v>1986.16996998039</v>
      </c>
      <c r="BC2">
        <v>1.108797793361631</v>
      </c>
      <c r="BD2">
        <v>7.149438474361891</v>
      </c>
      <c r="BE2" t="s">
        <v>646</v>
      </c>
      <c r="BF2">
        <v>5185.708</v>
      </c>
      <c r="BG2">
        <v>9104.616</v>
      </c>
      <c r="BH2">
        <v>4088.262</v>
      </c>
      <c r="BI2">
        <v>2029.984</v>
      </c>
      <c r="BJ2" t="s">
        <v>648</v>
      </c>
    </row>
    <row r="3" spans="1:62">
      <c r="A3" t="s">
        <v>9</v>
      </c>
      <c r="B3" t="s">
        <v>504</v>
      </c>
      <c r="C3">
        <v>19800</v>
      </c>
      <c r="D3">
        <v>15569.22614926987</v>
      </c>
      <c r="E3">
        <v>1.271739507806464</v>
      </c>
      <c r="F3">
        <v>2987.279388557381</v>
      </c>
      <c r="G3">
        <v>6.628104514041397</v>
      </c>
      <c r="H3">
        <v>1.372133818</v>
      </c>
      <c r="I3">
        <v>1.2262773688</v>
      </c>
      <c r="J3">
        <v>1.7765964082</v>
      </c>
      <c r="K3">
        <v>12</v>
      </c>
      <c r="L3">
        <v>0.4166666666666667</v>
      </c>
      <c r="M3">
        <v>-7.316655917705517</v>
      </c>
      <c r="N3">
        <v>6.28709196905</v>
      </c>
      <c r="O3">
        <v>0.2068574322</v>
      </c>
      <c r="P3">
        <v>0.2119898065769722</v>
      </c>
      <c r="Q3">
        <v>0.2147823308306871</v>
      </c>
      <c r="R3">
        <v>0.14</v>
      </c>
      <c r="S3">
        <v>0.06</v>
      </c>
      <c r="T3">
        <v>1.8357179025</v>
      </c>
      <c r="U3">
        <v>28580.70717028584</v>
      </c>
      <c r="V3">
        <v>44.34700591053451</v>
      </c>
      <c r="W3">
        <v>0.1733408502583618</v>
      </c>
      <c r="X3">
        <v>0.1754776047284276</v>
      </c>
      <c r="Y3">
        <v>0.1776143591984933</v>
      </c>
      <c r="Z3">
        <v>0.1221504996258148</v>
      </c>
      <c r="AA3">
        <v>0.1617391606245171</v>
      </c>
      <c r="AB3">
        <v>1.626088883095955</v>
      </c>
      <c r="AC3">
        <v>-0.3543493752894908</v>
      </c>
      <c r="AD3">
        <v>-21.79151330367841</v>
      </c>
      <c r="AE3">
        <v>0.3806657111952349</v>
      </c>
      <c r="AF3">
        <v>5.698805378629271</v>
      </c>
      <c r="AG3">
        <v>10068.749885</v>
      </c>
      <c r="AH3">
        <v>199.361247723</v>
      </c>
      <c r="AI3">
        <v>0.0191319925</v>
      </c>
      <c r="AJ3">
        <v>0.0389543319</v>
      </c>
      <c r="AK3">
        <v>0.275387713</v>
      </c>
      <c r="AL3">
        <v>0.0144980955</v>
      </c>
      <c r="AM3">
        <v>0.9362640824</v>
      </c>
      <c r="AN3">
        <v>0.3461029393</v>
      </c>
      <c r="AO3">
        <v>0.09045672170000001</v>
      </c>
      <c r="AP3" t="s">
        <v>643</v>
      </c>
      <c r="AQ3" t="s">
        <v>644</v>
      </c>
      <c r="AR3">
        <v>0.9706312453226856</v>
      </c>
      <c r="AS3">
        <v>1.533729888559344</v>
      </c>
      <c r="AT3">
        <v>1.351507584875154</v>
      </c>
      <c r="AU3">
        <v>0.1385703614159214</v>
      </c>
      <c r="AV3" t="s">
        <v>645</v>
      </c>
      <c r="AW3">
        <v>30078.169</v>
      </c>
      <c r="AX3">
        <v>156762.644</v>
      </c>
      <c r="AY3">
        <v>7425.661</v>
      </c>
      <c r="AZ3">
        <v>0.206068297106758</v>
      </c>
      <c r="BA3">
        <v>15569.22614926987</v>
      </c>
      <c r="BB3">
        <v>2987.279388557381</v>
      </c>
      <c r="BC3">
        <v>1.271739507806464</v>
      </c>
      <c r="BD3">
        <v>6.628104514041397</v>
      </c>
      <c r="BE3" t="s">
        <v>647</v>
      </c>
      <c r="BF3">
        <v>20188.258</v>
      </c>
      <c r="BG3">
        <v>34268.358</v>
      </c>
      <c r="BH3">
        <v>18379.042</v>
      </c>
      <c r="BI3">
        <v>7249.92</v>
      </c>
      <c r="BJ3" t="s">
        <v>649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V7"/>
  <sheetViews>
    <sheetView workbookViewId="0">
      <pane ySplit="1" topLeftCell="A2" activePane="bottomLeft" state="frozen"/>
      <selection pane="bottomLeft"/>
    </sheetView>
  </sheetViews>
  <sheetFormatPr defaultRowHeight="15"/>
  <cols>
    <col min="1" max="22" width="14.7109375" customWidth="1"/>
  </cols>
  <sheetData>
    <row r="1" spans="1:22">
      <c r="A1" s="2" t="s">
        <v>244</v>
      </c>
      <c r="B1" s="2" t="s">
        <v>650</v>
      </c>
      <c r="C1" s="2" t="s">
        <v>586</v>
      </c>
      <c r="D1" s="2" t="s">
        <v>651</v>
      </c>
      <c r="E1" s="2" t="s">
        <v>652</v>
      </c>
      <c r="F1" s="2" t="s">
        <v>653</v>
      </c>
      <c r="G1" s="2" t="s">
        <v>654</v>
      </c>
      <c r="H1" s="2" t="s">
        <v>655</v>
      </c>
      <c r="I1" s="2" t="s">
        <v>656</v>
      </c>
      <c r="J1" s="2" t="s">
        <v>657</v>
      </c>
      <c r="K1" s="2" t="s">
        <v>658</v>
      </c>
      <c r="L1" s="2" t="s">
        <v>659</v>
      </c>
      <c r="M1" s="2" t="s">
        <v>660</v>
      </c>
      <c r="N1" s="2" t="s">
        <v>661</v>
      </c>
      <c r="O1" s="2" t="s">
        <v>593</v>
      </c>
      <c r="P1" s="2" t="s">
        <v>662</v>
      </c>
      <c r="Q1" s="2" t="s">
        <v>663</v>
      </c>
      <c r="R1" s="2" t="s">
        <v>664</v>
      </c>
      <c r="S1" s="2" t="s">
        <v>665</v>
      </c>
      <c r="T1" s="2" t="s">
        <v>666</v>
      </c>
      <c r="U1" s="2" t="s">
        <v>667</v>
      </c>
      <c r="V1" s="2" t="s">
        <v>668</v>
      </c>
    </row>
    <row r="2" spans="1:22">
      <c r="A2" t="s">
        <v>8</v>
      </c>
      <c r="B2" t="s">
        <v>122</v>
      </c>
      <c r="C2" t="s">
        <v>504</v>
      </c>
      <c r="D2">
        <v>14200</v>
      </c>
      <c r="E2">
        <v>12806.66329335733</v>
      </c>
      <c r="F2">
        <v>0.13</v>
      </c>
      <c r="G2">
        <v>0.1574</v>
      </c>
      <c r="H2">
        <v>0.05</v>
      </c>
      <c r="I2">
        <v>900</v>
      </c>
      <c r="J2">
        <v>0.74487895716946</v>
      </c>
      <c r="K2">
        <v>13571.52952149378</v>
      </c>
      <c r="L2">
        <v>10109.14675716482</v>
      </c>
      <c r="M2">
        <v>-0.2880882565376884</v>
      </c>
      <c r="N2">
        <v>-0.2247079748475475</v>
      </c>
      <c r="O2">
        <v>1.0892767055</v>
      </c>
      <c r="P2" t="b">
        <v>1</v>
      </c>
      <c r="Q2" t="s">
        <v>670</v>
      </c>
      <c r="R2" t="s">
        <v>672</v>
      </c>
      <c r="S2">
        <v>9213.721408509273</v>
      </c>
      <c r="T2">
        <v>10803.65716858299</v>
      </c>
      <c r="U2">
        <v>17578.76711595522</v>
      </c>
      <c r="V2">
        <v>20612.18968393659</v>
      </c>
    </row>
    <row r="3" spans="1:22">
      <c r="A3" t="s">
        <v>8</v>
      </c>
      <c r="B3" t="s">
        <v>669</v>
      </c>
      <c r="C3" t="s">
        <v>504</v>
      </c>
      <c r="D3">
        <v>14200</v>
      </c>
      <c r="E3">
        <v>12806.66329335733</v>
      </c>
      <c r="F3">
        <v>0.155</v>
      </c>
      <c r="G3">
        <v>0.1474</v>
      </c>
      <c r="H3">
        <v>0.06</v>
      </c>
      <c r="I3">
        <v>900</v>
      </c>
      <c r="J3">
        <v>1.08695652173913</v>
      </c>
      <c r="K3">
        <v>13891.69610382771</v>
      </c>
      <c r="L3">
        <v>15099.6696780736</v>
      </c>
      <c r="M3">
        <v>0.06335701958264781</v>
      </c>
      <c r="N3">
        <v>0.1267373012727886</v>
      </c>
      <c r="O3">
        <v>1.0892767055</v>
      </c>
      <c r="P3" t="b">
        <v>1</v>
      </c>
      <c r="Q3" t="s">
        <v>670</v>
      </c>
      <c r="R3" t="s">
        <v>673</v>
      </c>
      <c r="S3">
        <v>9213.721408509273</v>
      </c>
      <c r="T3">
        <v>10803.65716858299</v>
      </c>
      <c r="U3">
        <v>17578.76711595522</v>
      </c>
      <c r="V3">
        <v>20612.18968393659</v>
      </c>
    </row>
    <row r="4" spans="1:22">
      <c r="A4" t="s">
        <v>8</v>
      </c>
      <c r="B4" t="s">
        <v>124</v>
      </c>
      <c r="C4" t="s">
        <v>504</v>
      </c>
      <c r="D4">
        <v>14200</v>
      </c>
      <c r="E4">
        <v>12806.66329335733</v>
      </c>
      <c r="F4">
        <v>0.175</v>
      </c>
      <c r="G4">
        <v>0.14</v>
      </c>
      <c r="H4">
        <v>0.06</v>
      </c>
      <c r="I4">
        <v>900</v>
      </c>
      <c r="J4">
        <v>1.4375</v>
      </c>
      <c r="K4">
        <v>14147.82936969486</v>
      </c>
      <c r="L4">
        <v>20337.50471893636</v>
      </c>
      <c r="M4">
        <v>0.4322186421786165</v>
      </c>
      <c r="N4">
        <v>0.4955989238687572</v>
      </c>
      <c r="O4">
        <v>1.0892767055</v>
      </c>
      <c r="P4" t="b">
        <v>0</v>
      </c>
      <c r="Q4" t="s">
        <v>670</v>
      </c>
      <c r="R4" t="s">
        <v>674</v>
      </c>
      <c r="S4">
        <v>9213.721408509273</v>
      </c>
      <c r="T4">
        <v>10803.65716858299</v>
      </c>
      <c r="U4">
        <v>17578.76711595522</v>
      </c>
      <c r="V4">
        <v>20612.18968393659</v>
      </c>
    </row>
    <row r="5" spans="1:22">
      <c r="A5" t="s">
        <v>9</v>
      </c>
      <c r="B5" t="s">
        <v>122</v>
      </c>
      <c r="C5" t="s">
        <v>504</v>
      </c>
      <c r="D5">
        <v>19800</v>
      </c>
      <c r="E5">
        <v>15569.22614926987</v>
      </c>
      <c r="F5">
        <v>0.17</v>
      </c>
      <c r="G5">
        <v>0.1855</v>
      </c>
      <c r="H5">
        <v>0.05</v>
      </c>
      <c r="I5">
        <v>1000</v>
      </c>
      <c r="J5">
        <v>0.8856088560885609</v>
      </c>
      <c r="K5">
        <v>17215.99459464575</v>
      </c>
      <c r="L5">
        <v>15246.63727939107</v>
      </c>
      <c r="M5">
        <v>-0.2299678141721682</v>
      </c>
      <c r="N5">
        <v>-0.1794627636671177</v>
      </c>
      <c r="O5">
        <v>1.2262773688</v>
      </c>
      <c r="P5" t="b">
        <v>1</v>
      </c>
      <c r="Q5" t="s">
        <v>671</v>
      </c>
      <c r="R5" t="s">
        <v>675</v>
      </c>
      <c r="S5">
        <v>12452.97866489624</v>
      </c>
      <c r="T5">
        <v>14758.72164997734</v>
      </c>
      <c r="U5">
        <v>24811.60439407892</v>
      </c>
      <c r="V5">
        <v>29405.62035762683</v>
      </c>
    </row>
    <row r="6" spans="1:22">
      <c r="A6" t="s">
        <v>9</v>
      </c>
      <c r="B6" t="s">
        <v>669</v>
      </c>
      <c r="C6" t="s">
        <v>504</v>
      </c>
      <c r="D6">
        <v>19800</v>
      </c>
      <c r="E6">
        <v>15569.22614926987</v>
      </c>
      <c r="F6">
        <v>0.195</v>
      </c>
      <c r="G6">
        <v>0.1755</v>
      </c>
      <c r="H6">
        <v>0.06</v>
      </c>
      <c r="I6">
        <v>1000</v>
      </c>
      <c r="J6">
        <v>1.168831168831169</v>
      </c>
      <c r="K6">
        <v>17605.2252483775</v>
      </c>
      <c r="L6">
        <v>20577.53600459708</v>
      </c>
      <c r="M6">
        <v>0.0392694951816705</v>
      </c>
      <c r="N6">
        <v>0.08977454568672109</v>
      </c>
      <c r="O6">
        <v>1.2262773688</v>
      </c>
      <c r="P6" t="b">
        <v>1</v>
      </c>
      <c r="Q6" t="s">
        <v>671</v>
      </c>
      <c r="R6" t="s">
        <v>676</v>
      </c>
      <c r="S6">
        <v>12452.97866489624</v>
      </c>
      <c r="T6">
        <v>14758.72164997734</v>
      </c>
      <c r="U6">
        <v>24811.60439407892</v>
      </c>
      <c r="V6">
        <v>29405.62035762683</v>
      </c>
    </row>
    <row r="7" spans="1:22">
      <c r="A7" t="s">
        <v>9</v>
      </c>
      <c r="B7" t="s">
        <v>124</v>
      </c>
      <c r="C7" t="s">
        <v>504</v>
      </c>
      <c r="D7">
        <v>19800</v>
      </c>
      <c r="E7">
        <v>15569.22614926987</v>
      </c>
      <c r="F7">
        <v>0.21</v>
      </c>
      <c r="G7">
        <v>0.15</v>
      </c>
      <c r="H7">
        <v>0.06</v>
      </c>
      <c r="I7">
        <v>1000</v>
      </c>
      <c r="J7">
        <v>1.666666666666667</v>
      </c>
      <c r="K7">
        <v>17838.76364061654</v>
      </c>
      <c r="L7">
        <v>29731.27273436091</v>
      </c>
      <c r="M7">
        <v>0.5015794310283286</v>
      </c>
      <c r="N7">
        <v>0.5520844815333792</v>
      </c>
      <c r="O7">
        <v>1.2262773688</v>
      </c>
      <c r="P7" t="b">
        <v>0</v>
      </c>
      <c r="Q7" t="s">
        <v>671</v>
      </c>
      <c r="R7" t="s">
        <v>677</v>
      </c>
      <c r="S7">
        <v>12452.97866489624</v>
      </c>
      <c r="T7">
        <v>14758.72164997734</v>
      </c>
      <c r="U7">
        <v>24811.60439407892</v>
      </c>
      <c r="V7">
        <v>29405.62035762683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I45"/>
  <sheetViews>
    <sheetView workbookViewId="0">
      <pane ySplit="1" topLeftCell="A2" activePane="bottomLeft" state="frozen"/>
      <selection pane="bottomLeft"/>
    </sheetView>
  </sheetViews>
  <sheetFormatPr defaultRowHeight="15"/>
  <cols>
    <col min="1" max="87" width="14.7109375" customWidth="1"/>
  </cols>
  <sheetData>
    <row r="1" spans="1:87">
      <c r="A1" s="2" t="s">
        <v>678</v>
      </c>
      <c r="B1" s="2" t="s">
        <v>244</v>
      </c>
      <c r="C1" s="2" t="s">
        <v>679</v>
      </c>
      <c r="D1" s="2" t="s">
        <v>257</v>
      </c>
      <c r="E1" s="2" t="s">
        <v>258</v>
      </c>
      <c r="F1" s="2" t="s">
        <v>260</v>
      </c>
      <c r="G1" s="2" t="s">
        <v>62</v>
      </c>
      <c r="H1" s="2" t="s">
        <v>261</v>
      </c>
      <c r="I1" s="2" t="s">
        <v>262</v>
      </c>
      <c r="J1" s="2" t="s">
        <v>263</v>
      </c>
      <c r="K1" s="2" t="s">
        <v>264</v>
      </c>
      <c r="L1" s="2" t="s">
        <v>265</v>
      </c>
      <c r="M1" s="2" t="s">
        <v>680</v>
      </c>
      <c r="N1" s="2" t="s">
        <v>287</v>
      </c>
      <c r="O1" s="2" t="s">
        <v>681</v>
      </c>
      <c r="P1" s="2" t="s">
        <v>288</v>
      </c>
      <c r="Q1" s="2" t="s">
        <v>292</v>
      </c>
      <c r="R1" s="2" t="s">
        <v>289</v>
      </c>
      <c r="S1" s="2" t="s">
        <v>290</v>
      </c>
      <c r="T1" s="2" t="s">
        <v>682</v>
      </c>
      <c r="U1" s="2" t="s">
        <v>683</v>
      </c>
      <c r="V1" s="2" t="s">
        <v>684</v>
      </c>
      <c r="W1" s="2" t="s">
        <v>685</v>
      </c>
      <c r="X1" s="2" t="s">
        <v>686</v>
      </c>
      <c r="Y1" s="2" t="s">
        <v>687</v>
      </c>
      <c r="Z1" s="2" t="s">
        <v>688</v>
      </c>
      <c r="AA1" s="2" t="s">
        <v>689</v>
      </c>
      <c r="AB1" s="2" t="s">
        <v>690</v>
      </c>
      <c r="AC1" s="2" t="s">
        <v>691</v>
      </c>
      <c r="AD1" s="2" t="s">
        <v>692</v>
      </c>
      <c r="AE1" s="2" t="s">
        <v>693</v>
      </c>
      <c r="AF1" s="2" t="s">
        <v>694</v>
      </c>
      <c r="AG1" s="2" t="s">
        <v>274</v>
      </c>
      <c r="AH1" s="2" t="s">
        <v>275</v>
      </c>
      <c r="AI1" s="2" t="s">
        <v>277</v>
      </c>
      <c r="AJ1" s="2" t="s">
        <v>695</v>
      </c>
      <c r="AK1" s="2" t="s">
        <v>276</v>
      </c>
      <c r="AL1" s="2" t="s">
        <v>267</v>
      </c>
      <c r="AM1" s="2" t="s">
        <v>696</v>
      </c>
      <c r="AN1" s="2" t="s">
        <v>697</v>
      </c>
      <c r="AO1" s="2" t="s">
        <v>698</v>
      </c>
      <c r="AP1" s="2" t="s">
        <v>699</v>
      </c>
      <c r="AQ1" s="2" t="s">
        <v>700</v>
      </c>
      <c r="AR1" s="2" t="s">
        <v>281</v>
      </c>
      <c r="AS1" s="2" t="s">
        <v>279</v>
      </c>
      <c r="AT1" s="2" t="s">
        <v>701</v>
      </c>
      <c r="AU1" s="2" t="s">
        <v>702</v>
      </c>
      <c r="AV1" s="2" t="s">
        <v>703</v>
      </c>
      <c r="AW1" s="2" t="s">
        <v>704</v>
      </c>
      <c r="AX1" s="2" t="s">
        <v>705</v>
      </c>
      <c r="AY1" s="2" t="s">
        <v>706</v>
      </c>
      <c r="AZ1" s="2" t="s">
        <v>285</v>
      </c>
      <c r="BA1" s="2" t="s">
        <v>707</v>
      </c>
      <c r="BB1" s="2" t="s">
        <v>708</v>
      </c>
      <c r="BC1" s="2" t="s">
        <v>709</v>
      </c>
      <c r="BD1" s="2" t="s">
        <v>710</v>
      </c>
      <c r="BE1" s="2" t="s">
        <v>711</v>
      </c>
      <c r="BF1" s="2" t="s">
        <v>712</v>
      </c>
      <c r="BG1" s="2" t="s">
        <v>713</v>
      </c>
      <c r="BH1" s="2" t="s">
        <v>714</v>
      </c>
      <c r="BI1" s="2" t="s">
        <v>715</v>
      </c>
      <c r="BJ1" s="2" t="s">
        <v>716</v>
      </c>
      <c r="BK1" s="2" t="s">
        <v>717</v>
      </c>
      <c r="BL1" s="2" t="s">
        <v>718</v>
      </c>
      <c r="BM1" s="2" t="s">
        <v>719</v>
      </c>
      <c r="BN1" s="2" t="s">
        <v>720</v>
      </c>
      <c r="BO1" s="2" t="s">
        <v>721</v>
      </c>
      <c r="BP1" s="2" t="s">
        <v>282</v>
      </c>
      <c r="BQ1" s="2" t="s">
        <v>291</v>
      </c>
      <c r="BR1" s="2" t="s">
        <v>722</v>
      </c>
      <c r="BS1" s="2" t="s">
        <v>723</v>
      </c>
      <c r="BT1" s="2" t="s">
        <v>278</v>
      </c>
      <c r="BU1" s="2" t="s">
        <v>280</v>
      </c>
      <c r="BV1" s="2" t="s">
        <v>286</v>
      </c>
      <c r="BW1" s="2" t="s">
        <v>259</v>
      </c>
      <c r="BX1" s="2" t="s">
        <v>724</v>
      </c>
      <c r="BY1" s="2" t="s">
        <v>725</v>
      </c>
      <c r="BZ1" s="2" t="s">
        <v>284</v>
      </c>
      <c r="CA1" s="2" t="s">
        <v>283</v>
      </c>
      <c r="CB1" s="2" t="s">
        <v>726</v>
      </c>
      <c r="CC1" s="2" t="s">
        <v>727</v>
      </c>
      <c r="CD1" s="2" t="s">
        <v>728</v>
      </c>
      <c r="CE1" s="2" t="s">
        <v>729</v>
      </c>
      <c r="CF1" s="2" t="s">
        <v>730</v>
      </c>
      <c r="CG1" s="2" t="s">
        <v>731</v>
      </c>
      <c r="CH1" s="2" t="s">
        <v>732</v>
      </c>
      <c r="CI1" s="2" t="s">
        <v>733</v>
      </c>
    </row>
    <row r="2" spans="1:87">
      <c r="A2" t="s">
        <v>734</v>
      </c>
      <c r="B2" t="s">
        <v>8</v>
      </c>
      <c r="C2" t="s">
        <v>748</v>
      </c>
      <c r="D2">
        <v>2778.385</v>
      </c>
      <c r="E2">
        <v>608.599</v>
      </c>
      <c r="F2">
        <v>3501.6</v>
      </c>
      <c r="G2">
        <v>-1360.655</v>
      </c>
      <c r="H2">
        <v>2140.945</v>
      </c>
      <c r="I2">
        <v>-334.043</v>
      </c>
      <c r="J2">
        <v>1806.902</v>
      </c>
      <c r="K2">
        <v>1446.212</v>
      </c>
      <c r="L2">
        <v>1446.212</v>
      </c>
      <c r="M2">
        <v>1220</v>
      </c>
      <c r="N2">
        <v>177506.741</v>
      </c>
      <c r="O2">
        <v>-1899.753</v>
      </c>
      <c r="P2">
        <v>156867.117</v>
      </c>
      <c r="Q2">
        <v>28487.129</v>
      </c>
      <c r="R2">
        <v>257866.042</v>
      </c>
      <c r="S2">
        <v>19325.737</v>
      </c>
      <c r="T2">
        <v>11093.879</v>
      </c>
      <c r="U2">
        <v>177506741000000</v>
      </c>
      <c r="V2">
        <v>170323999000000</v>
      </c>
      <c r="W2">
        <v>4118076000000</v>
      </c>
      <c r="X2">
        <v>624335000000</v>
      </c>
      <c r="Y2">
        <v>841105000000</v>
      </c>
      <c r="Z2">
        <v>1599226000000</v>
      </c>
      <c r="AA2">
        <v>156867117000000</v>
      </c>
      <c r="AB2">
        <v>19251840000000</v>
      </c>
      <c r="AC2">
        <v>0</v>
      </c>
      <c r="AD2">
        <v>0</v>
      </c>
      <c r="AE2">
        <v>0</v>
      </c>
      <c r="AF2">
        <v>0</v>
      </c>
      <c r="AG2">
        <v>1.726506826014005</v>
      </c>
      <c r="AH2">
        <v>2.319954710903064</v>
      </c>
      <c r="AI2">
        <v>12.27270594894659</v>
      </c>
      <c r="AJ2">
        <v>0</v>
      </c>
      <c r="AK2">
        <v>61.98890841612104</v>
      </c>
      <c r="AL2">
        <v>38.85809344299749</v>
      </c>
      <c r="AM2">
        <v>0.7700680883090771</v>
      </c>
      <c r="AN2">
        <v>31.01975720892495</v>
      </c>
      <c r="AO2">
        <v>2.302117733354515</v>
      </c>
      <c r="AP2">
        <v>68.11551074165736</v>
      </c>
      <c r="AQ2">
        <v>54.39838265376156</v>
      </c>
      <c r="AR2">
        <v>4.711240519457771</v>
      </c>
      <c r="AS2">
        <v>113.1573935919279</v>
      </c>
      <c r="AT2">
        <v>9475.001</v>
      </c>
      <c r="AU2">
        <v>12456.752</v>
      </c>
      <c r="AV2">
        <v>-4796.359</v>
      </c>
      <c r="AW2">
        <v>-1127.947</v>
      </c>
      <c r="AX2">
        <v>6532.446</v>
      </c>
      <c r="AY2">
        <v>5226.576</v>
      </c>
      <c r="AZ2">
        <v>17420.18008308906</v>
      </c>
      <c r="BA2">
        <v>-360.69</v>
      </c>
      <c r="BB2">
        <v>0</v>
      </c>
      <c r="BC2">
        <v>8.742000000000001</v>
      </c>
      <c r="BD2">
        <v>0</v>
      </c>
      <c r="BE2">
        <v>56.068</v>
      </c>
      <c r="BF2">
        <v>49.806</v>
      </c>
      <c r="BG2">
        <v>0</v>
      </c>
      <c r="BH2">
        <v>4990.211</v>
      </c>
      <c r="BI2">
        <v>-2211.826</v>
      </c>
      <c r="BJ2">
        <v>0</v>
      </c>
      <c r="BK2">
        <v>238540.305</v>
      </c>
      <c r="BL2">
        <v>257866.042</v>
      </c>
      <c r="BM2">
        <v>252547.67</v>
      </c>
      <c r="BN2">
        <v>313181000000</v>
      </c>
      <c r="BO2">
        <v>47128000000</v>
      </c>
      <c r="BP2">
        <v>4.327348084348892</v>
      </c>
      <c r="BQ2">
        <v>19325.737</v>
      </c>
      <c r="BR2">
        <v>31.01975720892495</v>
      </c>
      <c r="BS2">
        <v>4.510865976847941</v>
      </c>
      <c r="BT2">
        <v>12.50239653476898</v>
      </c>
      <c r="BU2">
        <v>7.494487001898452</v>
      </c>
      <c r="BV2">
        <v>17420.18008308906</v>
      </c>
      <c r="BW2">
        <v>723.2149999999997</v>
      </c>
      <c r="BX2">
        <v>2586.377</v>
      </c>
      <c r="BY2">
        <v>5226.576</v>
      </c>
      <c r="BZ2">
        <v>27.33213017532698</v>
      </c>
      <c r="CA2">
        <v>31.61973736149077</v>
      </c>
      <c r="CB2">
        <v>0</v>
      </c>
      <c r="CC2">
        <v>-9.094947017729282E-13</v>
      </c>
      <c r="CD2">
        <v>0</v>
      </c>
      <c r="CE2">
        <v>0</v>
      </c>
      <c r="CF2">
        <v>4.547473508864641E-13</v>
      </c>
      <c r="CG2">
        <v>0</v>
      </c>
      <c r="CH2">
        <v>0</v>
      </c>
      <c r="CI2">
        <v>0</v>
      </c>
    </row>
    <row r="3" spans="1:87">
      <c r="A3" t="s">
        <v>735</v>
      </c>
      <c r="B3" t="s">
        <v>8</v>
      </c>
      <c r="C3" t="s">
        <v>749</v>
      </c>
      <c r="D3">
        <v>2959.605</v>
      </c>
      <c r="E3">
        <v>764.894</v>
      </c>
      <c r="F3">
        <v>3806.874</v>
      </c>
      <c r="G3">
        <v>-1345.835</v>
      </c>
      <c r="H3">
        <v>2461.039</v>
      </c>
      <c r="I3">
        <v>-313.854</v>
      </c>
      <c r="J3">
        <v>2147.185</v>
      </c>
      <c r="K3">
        <v>1717.783</v>
      </c>
      <c r="L3">
        <v>1717.783</v>
      </c>
      <c r="M3">
        <v>757</v>
      </c>
      <c r="N3">
        <v>182945.434</v>
      </c>
      <c r="O3">
        <v>-1974.66</v>
      </c>
      <c r="P3">
        <v>168109.367</v>
      </c>
      <c r="Q3">
        <v>29226.93</v>
      </c>
      <c r="R3">
        <v>277200.433</v>
      </c>
      <c r="S3">
        <v>21048.34</v>
      </c>
      <c r="T3">
        <v>15531.43</v>
      </c>
      <c r="U3">
        <v>182945434000000</v>
      </c>
      <c r="V3">
        <v>175476263000000</v>
      </c>
      <c r="W3">
        <v>4375409000000</v>
      </c>
      <c r="X3">
        <v>809388000000</v>
      </c>
      <c r="Y3">
        <v>795486000000</v>
      </c>
      <c r="Z3">
        <v>1488888000000</v>
      </c>
      <c r="AA3">
        <v>168109367000000</v>
      </c>
      <c r="AB3">
        <v>20248627000000</v>
      </c>
      <c r="AC3">
        <v>0</v>
      </c>
      <c r="AD3">
        <v>0.1034</v>
      </c>
      <c r="AE3">
        <v>0</v>
      </c>
      <c r="AF3">
        <v>0</v>
      </c>
      <c r="AG3">
        <v>1.691084566778529</v>
      </c>
      <c r="AH3">
        <v>2.391647008801542</v>
      </c>
      <c r="AI3">
        <v>12.04491299999958</v>
      </c>
      <c r="AJ3">
        <v>0.1034</v>
      </c>
      <c r="AK3">
        <v>63.82714636743228</v>
      </c>
      <c r="AL3">
        <v>35.3527592455122</v>
      </c>
      <c r="AM3">
        <v>0.6965784018365264</v>
      </c>
      <c r="AN3">
        <v>34.03734529955941</v>
      </c>
      <c r="AO3">
        <v>2.568328355836534</v>
      </c>
      <c r="AP3">
        <v>67.60117589321344</v>
      </c>
      <c r="AQ3">
        <v>55.61012568246251</v>
      </c>
      <c r="AR3">
        <v>7.919525949217809</v>
      </c>
      <c r="AS3">
        <v>108.8252470785878</v>
      </c>
      <c r="AT3">
        <v>10532.67</v>
      </c>
      <c r="AU3">
        <v>13709.341</v>
      </c>
      <c r="AV3">
        <v>-5134.454</v>
      </c>
      <c r="AW3">
        <v>-1176.412</v>
      </c>
      <c r="AX3">
        <v>7398.475</v>
      </c>
      <c r="AY3">
        <v>5919.436000000001</v>
      </c>
      <c r="AZ3">
        <v>13552.09404414146</v>
      </c>
      <c r="BA3">
        <v>-429.402</v>
      </c>
      <c r="BB3">
        <v>0</v>
      </c>
      <c r="BC3">
        <v>-23.427</v>
      </c>
      <c r="BD3">
        <v>0</v>
      </c>
      <c r="BE3">
        <v>42.855</v>
      </c>
      <c r="BF3">
        <v>62.772</v>
      </c>
      <c r="BG3">
        <v>0.175</v>
      </c>
      <c r="BH3">
        <v>5261.388</v>
      </c>
      <c r="BI3">
        <v>-2301.783</v>
      </c>
      <c r="BJ3">
        <v>0</v>
      </c>
      <c r="BK3">
        <v>256152.093</v>
      </c>
      <c r="BL3">
        <v>277200.433</v>
      </c>
      <c r="BM3">
        <v>266255.328</v>
      </c>
      <c r="BN3">
        <v>361040000000</v>
      </c>
      <c r="BO3">
        <v>231270000000</v>
      </c>
      <c r="BP3">
        <v>11.80421226998487</v>
      </c>
      <c r="BQ3">
        <v>21048.34</v>
      </c>
      <c r="BR3">
        <v>34.03734529955941</v>
      </c>
      <c r="BS3">
        <v>4.563743866414588</v>
      </c>
      <c r="BT3">
        <v>12.39724910748132</v>
      </c>
      <c r="BU3">
        <v>7.593184387269698</v>
      </c>
      <c r="BV3">
        <v>13552.09404414146</v>
      </c>
      <c r="BW3">
        <v>847.2689999999998</v>
      </c>
      <c r="BX3">
        <v>2740.273</v>
      </c>
      <c r="BY3">
        <v>5919.436000000001</v>
      </c>
      <c r="BZ3">
        <v>31.38321411068692</v>
      </c>
      <c r="CA3">
        <v>32.66243502940731</v>
      </c>
      <c r="CB3">
        <v>0</v>
      </c>
      <c r="CC3">
        <v>0</v>
      </c>
      <c r="CD3">
        <v>-4.547473508864641E-13</v>
      </c>
      <c r="CE3">
        <v>0</v>
      </c>
      <c r="CF3">
        <v>4.547473508864641E-13</v>
      </c>
      <c r="CG3">
        <v>0</v>
      </c>
      <c r="CH3">
        <v>0</v>
      </c>
      <c r="CI3">
        <v>0</v>
      </c>
    </row>
    <row r="4" spans="1:87">
      <c r="A4" t="s">
        <v>736</v>
      </c>
      <c r="B4" t="s">
        <v>8</v>
      </c>
      <c r="C4" t="s">
        <v>750</v>
      </c>
      <c r="D4">
        <v>2678.429</v>
      </c>
      <c r="E4">
        <v>414.19</v>
      </c>
      <c r="F4">
        <v>3080.219</v>
      </c>
      <c r="G4">
        <v>-1428.619</v>
      </c>
      <c r="H4">
        <v>1651.6</v>
      </c>
      <c r="I4">
        <v>-266.931</v>
      </c>
      <c r="J4">
        <v>1384.669</v>
      </c>
      <c r="K4">
        <v>1108.053</v>
      </c>
      <c r="L4">
        <v>1108.053</v>
      </c>
      <c r="M4">
        <v>714</v>
      </c>
      <c r="N4">
        <v>187859.178</v>
      </c>
      <c r="O4">
        <v>-2155.363</v>
      </c>
      <c r="P4">
        <v>170590.963</v>
      </c>
      <c r="Q4">
        <v>27136.926</v>
      </c>
      <c r="R4">
        <v>285035.255</v>
      </c>
      <c r="S4">
        <v>22158.569</v>
      </c>
      <c r="T4">
        <v>15531.43</v>
      </c>
      <c r="U4">
        <v>187859178000000</v>
      </c>
      <c r="V4">
        <v>177597960000000</v>
      </c>
      <c r="W4">
        <v>6274746000000</v>
      </c>
      <c r="X4">
        <v>1318897000000</v>
      </c>
      <c r="Y4">
        <v>1049177000000</v>
      </c>
      <c r="Z4">
        <v>1618398000000</v>
      </c>
      <c r="AA4">
        <v>170590963000000</v>
      </c>
      <c r="AB4">
        <v>21172793000000</v>
      </c>
      <c r="AC4">
        <v>0</v>
      </c>
      <c r="AD4">
        <v>0</v>
      </c>
      <c r="AE4">
        <v>0</v>
      </c>
      <c r="AF4">
        <v>0</v>
      </c>
      <c r="AG4">
        <v>2.122053360629524</v>
      </c>
      <c r="AH4">
        <v>3.340132788188821</v>
      </c>
      <c r="AI4">
        <v>12.41143881695539</v>
      </c>
      <c r="AJ4">
        <v>0</v>
      </c>
      <c r="AK4">
        <v>54.06692935507888</v>
      </c>
      <c r="AL4">
        <v>46.38043593653568</v>
      </c>
      <c r="AM4">
        <v>0.5758957496461775</v>
      </c>
      <c r="AN4">
        <v>20.51621882972466</v>
      </c>
      <c r="AO4">
        <v>1.576638443484932</v>
      </c>
      <c r="AP4">
        <v>-16.99256264963847</v>
      </c>
      <c r="AQ4">
        <v>19.92516399758757</v>
      </c>
      <c r="AR4">
        <v>10.8181439224645</v>
      </c>
      <c r="AS4">
        <v>110.122584864006</v>
      </c>
      <c r="AT4">
        <v>10977.682</v>
      </c>
      <c r="AU4">
        <v>13758.318</v>
      </c>
      <c r="AV4">
        <v>-5438.327</v>
      </c>
      <c r="AW4">
        <v>-1204.965</v>
      </c>
      <c r="AX4">
        <v>7115.026</v>
      </c>
      <c r="AY4">
        <v>5692.605</v>
      </c>
      <c r="AZ4">
        <v>14266.92133306463</v>
      </c>
      <c r="BA4">
        <v>-276.616</v>
      </c>
      <c r="BB4">
        <v>0</v>
      </c>
      <c r="BC4">
        <v>-33.725</v>
      </c>
      <c r="BD4">
        <v>0</v>
      </c>
      <c r="BE4">
        <v>-3.766</v>
      </c>
      <c r="BF4">
        <v>23.5</v>
      </c>
      <c r="BG4">
        <v>1.591</v>
      </c>
      <c r="BH4">
        <v>5049.258</v>
      </c>
      <c r="BI4">
        <v>-2370.829</v>
      </c>
      <c r="BJ4">
        <v>0</v>
      </c>
      <c r="BK4">
        <v>262876.686</v>
      </c>
      <c r="BL4">
        <v>285035.255</v>
      </c>
      <c r="BM4">
        <v>273929.672</v>
      </c>
      <c r="BN4">
        <v>201111000000</v>
      </c>
      <c r="BO4">
        <v>203246000000</v>
      </c>
      <c r="BP4">
        <v>13.45464312284952</v>
      </c>
      <c r="BQ4">
        <v>22158.569</v>
      </c>
      <c r="BR4">
        <v>20.51621882972466</v>
      </c>
      <c r="BS4">
        <v>3.966684006405213</v>
      </c>
      <c r="BT4">
        <v>12.64847188886553</v>
      </c>
      <c r="BU4">
        <v>7.773974836902192</v>
      </c>
      <c r="BV4">
        <v>14266.92133306463</v>
      </c>
      <c r="BW4">
        <v>401.79</v>
      </c>
      <c r="BX4">
        <v>2538.878</v>
      </c>
      <c r="BY4">
        <v>5692.605</v>
      </c>
      <c r="BZ4">
        <v>23.58920305199492</v>
      </c>
      <c r="CA4">
        <v>26.08360019557072</v>
      </c>
      <c r="CB4">
        <v>0</v>
      </c>
      <c r="CC4">
        <v>0</v>
      </c>
      <c r="CD4">
        <v>2.273736754432321E-13</v>
      </c>
      <c r="CE4">
        <v>0</v>
      </c>
      <c r="CF4">
        <v>-2.273736754432321E-13</v>
      </c>
      <c r="CG4">
        <v>0</v>
      </c>
      <c r="CH4">
        <v>0</v>
      </c>
      <c r="CI4">
        <v>0</v>
      </c>
    </row>
    <row r="5" spans="1:87">
      <c r="A5" t="s">
        <v>737</v>
      </c>
      <c r="B5" t="s">
        <v>8</v>
      </c>
      <c r="C5" t="s">
        <v>751</v>
      </c>
      <c r="D5">
        <v>3399.728</v>
      </c>
      <c r="E5">
        <v>954.269</v>
      </c>
      <c r="F5">
        <v>4502.211</v>
      </c>
      <c r="G5">
        <v>-1146.733</v>
      </c>
      <c r="H5">
        <v>3355.478</v>
      </c>
      <c r="I5">
        <v>-683.22</v>
      </c>
      <c r="J5">
        <v>2672.258</v>
      </c>
      <c r="K5">
        <v>2137.704</v>
      </c>
      <c r="L5">
        <v>2137.704</v>
      </c>
      <c r="M5">
        <v>1376</v>
      </c>
      <c r="N5">
        <v>201516.754</v>
      </c>
      <c r="O5">
        <v>-2400.324</v>
      </c>
      <c r="P5">
        <v>173564.89</v>
      </c>
      <c r="Q5">
        <v>42298.182</v>
      </c>
      <c r="R5">
        <v>309517.129</v>
      </c>
      <c r="S5">
        <v>24290.74</v>
      </c>
      <c r="T5">
        <v>15531.43</v>
      </c>
      <c r="U5">
        <v>201516754000000</v>
      </c>
      <c r="V5">
        <v>191557743000000</v>
      </c>
      <c r="W5">
        <v>5288853000000</v>
      </c>
      <c r="X5">
        <v>1747352000000</v>
      </c>
      <c r="Y5">
        <v>1603696000000</v>
      </c>
      <c r="Z5">
        <v>1319110000000</v>
      </c>
      <c r="AA5">
        <v>173564890000000</v>
      </c>
      <c r="AB5">
        <v>27953339000000</v>
      </c>
      <c r="AC5">
        <v>0</v>
      </c>
      <c r="AD5">
        <v>0</v>
      </c>
      <c r="AE5">
        <v>0</v>
      </c>
      <c r="AF5">
        <v>0</v>
      </c>
      <c r="AG5">
        <v>2.317503585830883</v>
      </c>
      <c r="AH5">
        <v>2.624522723306669</v>
      </c>
      <c r="AI5">
        <v>16.10541106556747</v>
      </c>
      <c r="AJ5">
        <v>0</v>
      </c>
      <c r="AK5">
        <v>51.39706194094503</v>
      </c>
      <c r="AL5">
        <v>25.47044107883882</v>
      </c>
      <c r="AM5">
        <v>1.403723124828373</v>
      </c>
      <c r="AN5">
        <v>36.81783942146481</v>
      </c>
      <c r="AO5">
        <v>2.876387759972383</v>
      </c>
      <c r="AP5">
        <v>50.4835075255692</v>
      </c>
      <c r="AQ5">
        <v>32.73638825844907</v>
      </c>
      <c r="AR5">
        <v>18.87474908231457</v>
      </c>
      <c r="AS5">
        <v>116.1045612393152</v>
      </c>
      <c r="AT5">
        <v>11816.147</v>
      </c>
      <c r="AU5">
        <v>14890.904</v>
      </c>
      <c r="AV5">
        <v>-5281.842000000001</v>
      </c>
      <c r="AW5">
        <v>-1598.048</v>
      </c>
      <c r="AX5">
        <v>8011.014</v>
      </c>
      <c r="AY5">
        <v>6409.752</v>
      </c>
      <c r="AZ5">
        <v>15639.73182121672</v>
      </c>
      <c r="BA5">
        <v>-534.554</v>
      </c>
      <c r="BB5">
        <v>0</v>
      </c>
      <c r="BC5">
        <v>-38.338</v>
      </c>
      <c r="BD5">
        <v>0</v>
      </c>
      <c r="BE5">
        <v>101.64</v>
      </c>
      <c r="BF5">
        <v>84.91200000000001</v>
      </c>
      <c r="BG5">
        <v>0</v>
      </c>
      <c r="BH5">
        <v>5674.154</v>
      </c>
      <c r="BI5">
        <v>-2274.426</v>
      </c>
      <c r="BJ5">
        <v>0</v>
      </c>
      <c r="BK5">
        <v>285226.389</v>
      </c>
      <c r="BL5">
        <v>309517.129</v>
      </c>
      <c r="BM5">
        <v>299309.501</v>
      </c>
      <c r="BN5">
        <v>160087000000</v>
      </c>
      <c r="BO5">
        <v>137040000000</v>
      </c>
      <c r="BP5">
        <v>15.43250772086113</v>
      </c>
      <c r="BQ5">
        <v>24290.74</v>
      </c>
      <c r="BR5">
        <v>36.81783942146481</v>
      </c>
      <c r="BS5">
        <v>4.744585729838112</v>
      </c>
      <c r="BT5">
        <v>16.27660179429146</v>
      </c>
      <c r="BU5">
        <v>7.847946922511031</v>
      </c>
      <c r="BV5">
        <v>15639.73182121672</v>
      </c>
      <c r="BW5">
        <v>1102.483</v>
      </c>
      <c r="BX5">
        <v>2741.952</v>
      </c>
      <c r="BY5">
        <v>6409.752</v>
      </c>
      <c r="BZ5">
        <v>15.43250772086113</v>
      </c>
      <c r="CA5">
        <v>18.87474908231457</v>
      </c>
      <c r="CB5">
        <v>0</v>
      </c>
      <c r="CC5">
        <v>-9.094947017729282E-13</v>
      </c>
      <c r="CD5">
        <v>0</v>
      </c>
      <c r="CE5">
        <v>4.547473508864641E-13</v>
      </c>
      <c r="CF5">
        <v>0</v>
      </c>
      <c r="CG5">
        <v>0</v>
      </c>
      <c r="CH5">
        <v>0</v>
      </c>
      <c r="CI5">
        <v>0</v>
      </c>
    </row>
    <row r="6" spans="1:87">
      <c r="A6" t="s">
        <v>738</v>
      </c>
      <c r="B6" t="s">
        <v>8</v>
      </c>
      <c r="C6" t="s">
        <v>752</v>
      </c>
      <c r="D6">
        <v>3515.891</v>
      </c>
      <c r="E6">
        <v>647.729</v>
      </c>
      <c r="F6">
        <v>4136.116</v>
      </c>
      <c r="G6">
        <v>-1459.919</v>
      </c>
      <c r="H6">
        <v>2676.197</v>
      </c>
      <c r="I6">
        <v>-397.282</v>
      </c>
      <c r="J6">
        <v>2278.915</v>
      </c>
      <c r="K6">
        <v>1823.136</v>
      </c>
      <c r="L6">
        <v>1823.136</v>
      </c>
      <c r="M6">
        <v>1109</v>
      </c>
      <c r="N6">
        <v>214119.196</v>
      </c>
      <c r="O6">
        <v>-2648.699</v>
      </c>
      <c r="P6">
        <v>183802.071</v>
      </c>
      <c r="Q6">
        <v>42761.874</v>
      </c>
      <c r="R6">
        <v>333850.243</v>
      </c>
      <c r="S6">
        <v>26011.471</v>
      </c>
      <c r="T6">
        <v>15531.43</v>
      </c>
      <c r="U6">
        <v>214119196000000</v>
      </c>
      <c r="V6">
        <v>202381421000000</v>
      </c>
      <c r="W6">
        <v>6622775000000</v>
      </c>
      <c r="X6">
        <v>996984000000</v>
      </c>
      <c r="Y6">
        <v>2631588000000</v>
      </c>
      <c r="Z6">
        <v>1486428000000</v>
      </c>
      <c r="AA6">
        <v>183802071000000</v>
      </c>
      <c r="AB6">
        <v>27263093000000</v>
      </c>
      <c r="AC6">
        <v>0</v>
      </c>
      <c r="AD6">
        <v>0</v>
      </c>
      <c r="AE6">
        <v>0</v>
      </c>
      <c r="AF6">
        <v>0</v>
      </c>
      <c r="AG6">
        <v>2.388856345229318</v>
      </c>
      <c r="AH6">
        <v>3.09303188304518</v>
      </c>
      <c r="AI6">
        <v>14.83285408682909</v>
      </c>
      <c r="AJ6">
        <v>0</v>
      </c>
      <c r="AK6">
        <v>51.78297165200391</v>
      </c>
      <c r="AL6">
        <v>35.29685821190701</v>
      </c>
      <c r="AM6">
        <v>0.7646730269602522</v>
      </c>
      <c r="AN6">
        <v>28.99492429865558</v>
      </c>
      <c r="AO6">
        <v>2.266992178148568</v>
      </c>
      <c r="AP6">
        <v>26.06284555791268</v>
      </c>
      <c r="AQ6">
        <v>26.54441339123268</v>
      </c>
      <c r="AR6">
        <v>6.253793667200491</v>
      </c>
      <c r="AS6">
        <v>116.4944414581705</v>
      </c>
      <c r="AT6">
        <v>12553.653</v>
      </c>
      <c r="AU6">
        <v>15525.42</v>
      </c>
      <c r="AV6">
        <v>-5381.106</v>
      </c>
      <c r="AW6">
        <v>-1661.287</v>
      </c>
      <c r="AX6">
        <v>8483.027</v>
      </c>
      <c r="AY6">
        <v>6786.676</v>
      </c>
      <c r="AZ6">
        <v>16747.6343131315</v>
      </c>
      <c r="BA6">
        <v>-455.779</v>
      </c>
      <c r="BB6">
        <v>0</v>
      </c>
      <c r="BC6">
        <v>-81.05800000000001</v>
      </c>
      <c r="BD6">
        <v>0</v>
      </c>
      <c r="BE6">
        <v>2.316</v>
      </c>
      <c r="BF6">
        <v>51.238</v>
      </c>
      <c r="BG6">
        <v>0</v>
      </c>
      <c r="BH6">
        <v>6052.866</v>
      </c>
      <c r="BI6">
        <v>-2536.975</v>
      </c>
      <c r="BJ6">
        <v>0</v>
      </c>
      <c r="BK6">
        <v>307838.772</v>
      </c>
      <c r="BL6">
        <v>333850.243</v>
      </c>
      <c r="BM6">
        <v>320802.712</v>
      </c>
      <c r="BN6">
        <v>178336000000</v>
      </c>
      <c r="BO6">
        <v>99845000000</v>
      </c>
      <c r="BP6">
        <v>5.898186551439055</v>
      </c>
      <c r="BQ6">
        <v>26011.471</v>
      </c>
      <c r="BR6">
        <v>28.99492429865558</v>
      </c>
      <c r="BS6">
        <v>4.535812617514114</v>
      </c>
      <c r="BT6">
        <v>14.98420221826554</v>
      </c>
      <c r="BU6">
        <v>7.791359013628156</v>
      </c>
      <c r="BV6">
        <v>16747.6343131315</v>
      </c>
      <c r="BW6">
        <v>620.2249999999999</v>
      </c>
      <c r="BX6">
        <v>2781.082</v>
      </c>
      <c r="BY6">
        <v>6786.676</v>
      </c>
      <c r="BZ6">
        <v>17.17055461661861</v>
      </c>
      <c r="CA6">
        <v>20.62595188990597</v>
      </c>
      <c r="CB6">
        <v>0</v>
      </c>
      <c r="CC6">
        <v>0</v>
      </c>
      <c r="CD6">
        <v>0</v>
      </c>
      <c r="CE6">
        <v>0</v>
      </c>
      <c r="CF6">
        <v>0</v>
      </c>
      <c r="CG6">
        <v>0</v>
      </c>
      <c r="CH6">
        <v>0</v>
      </c>
      <c r="CI6">
        <v>0</v>
      </c>
    </row>
    <row r="7" spans="1:87">
      <c r="A7" t="s">
        <v>739</v>
      </c>
      <c r="B7" t="s">
        <v>8</v>
      </c>
      <c r="C7" t="s">
        <v>753</v>
      </c>
      <c r="D7">
        <v>3699.595</v>
      </c>
      <c r="E7">
        <v>905.367</v>
      </c>
      <c r="F7">
        <v>4608.602</v>
      </c>
      <c r="G7">
        <v>-1501.223</v>
      </c>
      <c r="H7">
        <v>3107.379</v>
      </c>
      <c r="I7">
        <v>-363.332</v>
      </c>
      <c r="J7">
        <v>2744.047</v>
      </c>
      <c r="K7">
        <v>2195.308</v>
      </c>
      <c r="L7">
        <v>2195.308</v>
      </c>
      <c r="M7">
        <v>1042</v>
      </c>
      <c r="N7">
        <v>221719.578</v>
      </c>
      <c r="O7">
        <v>-2934.952</v>
      </c>
      <c r="P7">
        <v>197169.492</v>
      </c>
      <c r="Q7">
        <v>40701.844</v>
      </c>
      <c r="R7">
        <v>348022.816</v>
      </c>
      <c r="S7">
        <v>28249.674</v>
      </c>
      <c r="T7">
        <v>21076.73</v>
      </c>
      <c r="U7">
        <v>221719578000000</v>
      </c>
      <c r="V7">
        <v>210053751000000</v>
      </c>
      <c r="W7">
        <v>6236869000000</v>
      </c>
      <c r="X7">
        <v>1092798000000</v>
      </c>
      <c r="Y7">
        <v>2125432000000</v>
      </c>
      <c r="Z7">
        <v>2210728000000</v>
      </c>
      <c r="AA7">
        <v>197169492000000</v>
      </c>
      <c r="AB7">
        <v>26868788000000</v>
      </c>
      <c r="AC7">
        <v>0</v>
      </c>
      <c r="AD7">
        <v>0.1148</v>
      </c>
      <c r="AE7">
        <v>0</v>
      </c>
      <c r="AF7">
        <v>0</v>
      </c>
      <c r="AG7">
        <v>2.448569516941801</v>
      </c>
      <c r="AH7">
        <v>2.81295366708663</v>
      </c>
      <c r="AI7">
        <v>13.62725426101924</v>
      </c>
      <c r="AJ7">
        <v>0.1148</v>
      </c>
      <c r="AK7">
        <v>54.06105554693922</v>
      </c>
      <c r="AL7">
        <v>32.57436853952674</v>
      </c>
      <c r="AM7">
        <v>0.666910833408319</v>
      </c>
      <c r="AN7">
        <v>32.36655621623908</v>
      </c>
      <c r="AO7">
        <v>2.57562075054794</v>
      </c>
      <c r="AP7">
        <v>27.79891290110568</v>
      </c>
      <c r="AQ7">
        <v>25.00299871097662</v>
      </c>
      <c r="AR7">
        <v>10.02538181018935</v>
      </c>
      <c r="AS7">
        <v>112.4512599545573</v>
      </c>
      <c r="AT7">
        <v>13293.643</v>
      </c>
      <c r="AU7">
        <v>16327.148</v>
      </c>
      <c r="AV7">
        <v>-5536.494</v>
      </c>
      <c r="AW7">
        <v>-1710.765</v>
      </c>
      <c r="AX7">
        <v>9079.888999999999</v>
      </c>
      <c r="AY7">
        <v>7264.201</v>
      </c>
      <c r="AZ7">
        <v>13403.2527816222</v>
      </c>
      <c r="BA7">
        <v>-548.739</v>
      </c>
      <c r="BB7">
        <v>0</v>
      </c>
      <c r="BC7">
        <v>-87.056</v>
      </c>
      <c r="BD7">
        <v>0</v>
      </c>
      <c r="BE7">
        <v>-15.146</v>
      </c>
      <c r="BF7">
        <v>105.492</v>
      </c>
      <c r="BG7">
        <v>0.35</v>
      </c>
      <c r="BH7">
        <v>6568.79</v>
      </c>
      <c r="BI7">
        <v>-2869.195</v>
      </c>
      <c r="BJ7">
        <v>0</v>
      </c>
      <c r="BK7">
        <v>319773.142</v>
      </c>
      <c r="BL7">
        <v>348022.816</v>
      </c>
      <c r="BM7">
        <v>334854.839</v>
      </c>
      <c r="BN7">
        <v>436518000000</v>
      </c>
      <c r="BO7">
        <v>105175000000</v>
      </c>
      <c r="BP7">
        <v>13.59987149474757</v>
      </c>
      <c r="BQ7">
        <v>28249.674</v>
      </c>
      <c r="BR7">
        <v>32.36655621623908</v>
      </c>
      <c r="BS7">
        <v>4.514057674598488</v>
      </c>
      <c r="BT7">
        <v>13.90198895476182</v>
      </c>
      <c r="BU7">
        <v>8.117190224677682</v>
      </c>
      <c r="BV7">
        <v>13403.2527816222</v>
      </c>
      <c r="BW7">
        <v>909.0069999999999</v>
      </c>
      <c r="BX7">
        <v>2921.555</v>
      </c>
      <c r="BY7">
        <v>7264.201</v>
      </c>
      <c r="BZ7">
        <v>17.28644008278253</v>
      </c>
      <c r="CA7">
        <v>21.19437646090692</v>
      </c>
      <c r="CB7">
        <v>0</v>
      </c>
      <c r="CC7">
        <v>-9.094947017729282E-13</v>
      </c>
      <c r="CD7">
        <v>0</v>
      </c>
      <c r="CE7">
        <v>0</v>
      </c>
      <c r="CF7">
        <v>0</v>
      </c>
      <c r="CG7">
        <v>0</v>
      </c>
      <c r="CH7">
        <v>0</v>
      </c>
      <c r="CI7">
        <v>0</v>
      </c>
    </row>
    <row r="8" spans="1:87">
      <c r="A8" t="s">
        <v>740</v>
      </c>
      <c r="B8" t="s">
        <v>8</v>
      </c>
      <c r="C8" t="s">
        <v>754</v>
      </c>
      <c r="D8">
        <v>3836.028</v>
      </c>
      <c r="E8">
        <v>795.473</v>
      </c>
      <c r="F8">
        <v>4626.517</v>
      </c>
      <c r="G8">
        <v>-1669.754</v>
      </c>
      <c r="H8">
        <v>2956.763</v>
      </c>
      <c r="I8">
        <v>-165.64</v>
      </c>
      <c r="J8">
        <v>2791.123</v>
      </c>
      <c r="K8">
        <v>2233.407</v>
      </c>
      <c r="L8">
        <v>2233.407</v>
      </c>
      <c r="M8">
        <v>1099</v>
      </c>
      <c r="N8">
        <v>226152.711</v>
      </c>
      <c r="O8">
        <v>-2869.122</v>
      </c>
      <c r="P8">
        <v>189033.408</v>
      </c>
      <c r="Q8">
        <v>35188.844</v>
      </c>
      <c r="R8">
        <v>340910.343</v>
      </c>
      <c r="S8">
        <v>30477.741</v>
      </c>
      <c r="T8">
        <v>21076.73</v>
      </c>
      <c r="U8">
        <v>226152711000000</v>
      </c>
      <c r="V8">
        <v>213474967000000</v>
      </c>
      <c r="W8">
        <v>7369022000000</v>
      </c>
      <c r="X8">
        <v>1187690000000</v>
      </c>
      <c r="Y8">
        <v>1701444000000</v>
      </c>
      <c r="Z8">
        <v>2419588000000</v>
      </c>
      <c r="AA8">
        <v>189033408000000</v>
      </c>
      <c r="AB8">
        <v>25536228000000</v>
      </c>
      <c r="AC8">
        <v>0</v>
      </c>
      <c r="AD8">
        <v>0</v>
      </c>
      <c r="AE8">
        <v>0</v>
      </c>
      <c r="AF8">
        <v>0</v>
      </c>
      <c r="AG8">
        <v>2.347405864172904</v>
      </c>
      <c r="AH8">
        <v>3.258427443746186</v>
      </c>
      <c r="AI8">
        <v>13.50884389705337</v>
      </c>
      <c r="AJ8">
        <v>0</v>
      </c>
      <c r="AK8">
        <v>54.04543692436711</v>
      </c>
      <c r="AL8">
        <v>36.09095135714405</v>
      </c>
      <c r="AM8">
        <v>0.2958700577253173</v>
      </c>
      <c r="AN8">
        <v>30.42404641852532</v>
      </c>
      <c r="AO8">
        <v>2.593467271329293</v>
      </c>
      <c r="AP8">
        <v>101.5613874065591</v>
      </c>
      <c r="AQ8">
        <v>43.21932744903821</v>
      </c>
      <c r="AR8">
        <v>12.22526490278819</v>
      </c>
      <c r="AS8">
        <v>119.6363718946442</v>
      </c>
      <c r="AT8">
        <v>14451.242</v>
      </c>
      <c r="AU8">
        <v>17873.446</v>
      </c>
      <c r="AV8">
        <v>-5777.629</v>
      </c>
      <c r="AW8">
        <v>-1609.474</v>
      </c>
      <c r="AX8">
        <v>10486.343</v>
      </c>
      <c r="AY8">
        <v>8389.555</v>
      </c>
      <c r="AZ8">
        <v>14460.37454576682</v>
      </c>
      <c r="BA8">
        <v>-557.716</v>
      </c>
      <c r="BB8">
        <v>0</v>
      </c>
      <c r="BC8">
        <v>-55.121</v>
      </c>
      <c r="BD8">
        <v>0</v>
      </c>
      <c r="BE8">
        <v>-65.84</v>
      </c>
      <c r="BF8">
        <v>113.432</v>
      </c>
      <c r="BG8">
        <v>2.545</v>
      </c>
      <c r="BH8">
        <v>7107.264</v>
      </c>
      <c r="BI8">
        <v>-3271.236</v>
      </c>
      <c r="BJ8">
        <v>0</v>
      </c>
      <c r="BK8">
        <v>310432.602</v>
      </c>
      <c r="BL8">
        <v>340910.343</v>
      </c>
      <c r="BM8">
        <v>329522.721</v>
      </c>
      <c r="BN8">
        <v>300444000000</v>
      </c>
      <c r="BO8">
        <v>83193000000</v>
      </c>
      <c r="BP8">
        <v>8.912239105501097</v>
      </c>
      <c r="BQ8">
        <v>30477.741</v>
      </c>
      <c r="BR8">
        <v>30.42404641852532</v>
      </c>
      <c r="BS8">
        <v>4.619093998298196</v>
      </c>
      <c r="BT8">
        <v>13.71179056349659</v>
      </c>
      <c r="BU8">
        <v>8.940104524784102</v>
      </c>
      <c r="BV8">
        <v>14460.37454576682</v>
      </c>
      <c r="BW8">
        <v>790.489</v>
      </c>
      <c r="BX8">
        <v>3302.838</v>
      </c>
      <c r="BY8">
        <v>8389.555</v>
      </c>
      <c r="BZ8">
        <v>10.81091558173572</v>
      </c>
      <c r="CA8">
        <v>20.38416935902914</v>
      </c>
      <c r="CB8">
        <v>0</v>
      </c>
      <c r="CC8">
        <v>0</v>
      </c>
      <c r="CD8">
        <v>0</v>
      </c>
      <c r="CE8">
        <v>0</v>
      </c>
      <c r="CF8">
        <v>0</v>
      </c>
      <c r="CG8">
        <v>0</v>
      </c>
      <c r="CH8">
        <v>0</v>
      </c>
      <c r="CI8">
        <v>0</v>
      </c>
    </row>
    <row r="9" spans="1:87">
      <c r="A9" t="s">
        <v>741</v>
      </c>
      <c r="B9" t="s">
        <v>8</v>
      </c>
      <c r="C9" t="s">
        <v>755</v>
      </c>
      <c r="D9">
        <v>3911.041</v>
      </c>
      <c r="E9">
        <v>839.812</v>
      </c>
      <c r="F9">
        <v>4686.603</v>
      </c>
      <c r="G9">
        <v>-1566.22</v>
      </c>
      <c r="H9">
        <v>3120.383</v>
      </c>
      <c r="I9">
        <v>-353.349</v>
      </c>
      <c r="J9">
        <v>2767.034</v>
      </c>
      <c r="K9">
        <v>2216.919</v>
      </c>
      <c r="L9">
        <v>2216.919</v>
      </c>
      <c r="M9">
        <v>0</v>
      </c>
      <c r="N9">
        <v>231944.016</v>
      </c>
      <c r="O9">
        <v>-3064.767</v>
      </c>
      <c r="P9">
        <v>200123.94</v>
      </c>
      <c r="Q9">
        <v>31774.818</v>
      </c>
      <c r="R9">
        <v>343069.186</v>
      </c>
      <c r="S9">
        <v>32651.045</v>
      </c>
      <c r="T9">
        <v>21076.73</v>
      </c>
      <c r="U9">
        <v>231944016000000</v>
      </c>
      <c r="V9">
        <v>216102238000000</v>
      </c>
      <c r="W9">
        <v>10154939000000</v>
      </c>
      <c r="X9">
        <v>1540756000000</v>
      </c>
      <c r="Y9">
        <v>1709696000000</v>
      </c>
      <c r="Z9">
        <v>2436387000000</v>
      </c>
      <c r="AA9">
        <v>200123940000000</v>
      </c>
      <c r="AB9">
        <v>27290753000000</v>
      </c>
      <c r="AC9">
        <v>0</v>
      </c>
      <c r="AD9">
        <v>0</v>
      </c>
      <c r="AE9">
        <v>0</v>
      </c>
      <c r="AF9">
        <v>0</v>
      </c>
      <c r="AG9">
        <v>2.451815355305394</v>
      </c>
      <c r="AH9">
        <v>4.378185380734289</v>
      </c>
      <c r="AI9">
        <v>13.63692569714548</v>
      </c>
      <c r="AJ9">
        <v>0</v>
      </c>
      <c r="AK9">
        <v>53.89227653534766</v>
      </c>
      <c r="AL9">
        <v>33.41908841009149</v>
      </c>
      <c r="AM9">
        <v>0.6170731710990809</v>
      </c>
      <c r="AN9">
        <v>28.09392216096156</v>
      </c>
      <c r="AO9">
        <v>2.592965322504557</v>
      </c>
      <c r="AP9">
        <v>3.705611253943464</v>
      </c>
      <c r="AQ9">
        <v>15.03982083272544</v>
      </c>
      <c r="AR9">
        <v>15.09912272604392</v>
      </c>
      <c r="AS9">
        <v>115.900184655569</v>
      </c>
      <c r="AT9">
        <v>14962.555</v>
      </c>
      <c r="AU9">
        <v>18057.838</v>
      </c>
      <c r="AV9">
        <v>-6197.116</v>
      </c>
      <c r="AW9">
        <v>-1279.603</v>
      </c>
      <c r="AX9">
        <v>10581.119</v>
      </c>
      <c r="AY9">
        <v>8468.77</v>
      </c>
      <c r="AZ9">
        <v>15491.51362663943</v>
      </c>
      <c r="BA9">
        <v>-550.115</v>
      </c>
      <c r="BB9">
        <v>0</v>
      </c>
      <c r="BC9">
        <v>-51.797</v>
      </c>
      <c r="BD9">
        <v>0</v>
      </c>
      <c r="BE9">
        <v>-97.173</v>
      </c>
      <c r="BF9">
        <v>84.72</v>
      </c>
      <c r="BG9">
        <v>0</v>
      </c>
      <c r="BH9">
        <v>7780.419</v>
      </c>
      <c r="BI9">
        <v>-3869.378</v>
      </c>
      <c r="BJ9">
        <v>0</v>
      </c>
      <c r="BK9">
        <v>310418.141</v>
      </c>
      <c r="BL9">
        <v>343069.186</v>
      </c>
      <c r="BM9">
        <v>334303.132</v>
      </c>
      <c r="BN9">
        <v>204450000000</v>
      </c>
      <c r="BO9">
        <v>68771000000</v>
      </c>
      <c r="BP9">
        <v>15.30208672963753</v>
      </c>
      <c r="BQ9">
        <v>32651.045</v>
      </c>
      <c r="BR9">
        <v>28.09392216096156</v>
      </c>
      <c r="BS9">
        <v>4.713333754417667</v>
      </c>
      <c r="BT9">
        <v>13.77345159204841</v>
      </c>
      <c r="BU9">
        <v>9.517335375028406</v>
      </c>
      <c r="BV9">
        <v>15491.51362663943</v>
      </c>
      <c r="BW9">
        <v>775.5619999999999</v>
      </c>
      <c r="BX9">
        <v>3188.381</v>
      </c>
      <c r="BY9">
        <v>8468.77</v>
      </c>
      <c r="BZ9">
        <v>15.30208672963753</v>
      </c>
      <c r="CA9">
        <v>15.09912272604392</v>
      </c>
      <c r="CB9">
        <v>0</v>
      </c>
      <c r="CC9">
        <v>-9.094947017729282E-13</v>
      </c>
      <c r="CD9">
        <v>4.547473508864641E-13</v>
      </c>
      <c r="CE9">
        <v>0</v>
      </c>
      <c r="CF9">
        <v>0</v>
      </c>
      <c r="CG9">
        <v>0</v>
      </c>
      <c r="CH9">
        <v>0</v>
      </c>
      <c r="CI9">
        <v>0</v>
      </c>
    </row>
    <row r="10" spans="1:87">
      <c r="A10" t="s">
        <v>742</v>
      </c>
      <c r="B10" t="s">
        <v>8</v>
      </c>
      <c r="C10" t="s">
        <v>756</v>
      </c>
      <c r="D10">
        <v>4304.106</v>
      </c>
      <c r="E10">
        <v>618.431</v>
      </c>
      <c r="F10">
        <v>4929.597</v>
      </c>
      <c r="G10">
        <v>-1567.51</v>
      </c>
      <c r="H10">
        <v>3362.087</v>
      </c>
      <c r="I10">
        <v>-668.187</v>
      </c>
      <c r="J10">
        <v>2693.9</v>
      </c>
      <c r="K10">
        <v>2155.111</v>
      </c>
      <c r="L10">
        <v>2155.111</v>
      </c>
      <c r="M10">
        <v>970</v>
      </c>
      <c r="N10">
        <v>229177.396</v>
      </c>
      <c r="O10">
        <v>-3173.031</v>
      </c>
      <c r="P10">
        <v>199267.04</v>
      </c>
      <c r="Q10">
        <v>31496.289</v>
      </c>
      <c r="R10">
        <v>357247.165</v>
      </c>
      <c r="S10">
        <v>32570.416</v>
      </c>
      <c r="T10">
        <v>21076.73</v>
      </c>
      <c r="U10">
        <v>229177396000000</v>
      </c>
      <c r="V10">
        <v>208392237000000</v>
      </c>
      <c r="W10">
        <v>12442950000000</v>
      </c>
      <c r="X10">
        <v>3731276000000</v>
      </c>
      <c r="Y10">
        <v>2435786000000</v>
      </c>
      <c r="Z10">
        <v>2175147000000</v>
      </c>
      <c r="AA10">
        <v>199267040000000</v>
      </c>
      <c r="AB10">
        <v>24111104000000</v>
      </c>
      <c r="AC10">
        <v>0</v>
      </c>
      <c r="AD10">
        <v>0</v>
      </c>
      <c r="AE10">
        <v>0</v>
      </c>
      <c r="AF10">
        <v>0</v>
      </c>
      <c r="AG10">
        <v>3.640066230615519</v>
      </c>
      <c r="AH10">
        <v>5.429396710659894</v>
      </c>
      <c r="AI10">
        <v>12.09989569775312</v>
      </c>
      <c r="AJ10">
        <v>0</v>
      </c>
      <c r="AK10">
        <v>38.03586076541597</v>
      </c>
      <c r="AL10">
        <v>31.79793398933016</v>
      </c>
      <c r="AM10">
        <v>1.15923829622555</v>
      </c>
      <c r="AN10">
        <v>26.4343787085665</v>
      </c>
      <c r="AO10">
        <v>2.46187140645528</v>
      </c>
      <c r="AP10">
        <v>18.20900909202605</v>
      </c>
      <c r="AQ10">
        <v>22.41864153354014</v>
      </c>
      <c r="AR10">
        <v>-1.192796454813472</v>
      </c>
      <c r="AS10">
        <v>115.0101873345436</v>
      </c>
      <c r="AT10">
        <v>15750.77</v>
      </c>
      <c r="AU10">
        <v>18851.319</v>
      </c>
      <c r="AV10">
        <v>-6304.707</v>
      </c>
      <c r="AW10">
        <v>-1550.508</v>
      </c>
      <c r="AX10">
        <v>10996.104</v>
      </c>
      <c r="AY10">
        <v>8800.744999999999</v>
      </c>
      <c r="AZ10">
        <v>15453.25864116492</v>
      </c>
      <c r="BA10">
        <v>-538.789</v>
      </c>
      <c r="BB10">
        <v>0</v>
      </c>
      <c r="BC10">
        <v>-27.849</v>
      </c>
      <c r="BD10">
        <v>0</v>
      </c>
      <c r="BE10">
        <v>-10.327</v>
      </c>
      <c r="BF10">
        <v>45.236</v>
      </c>
      <c r="BG10">
        <v>0</v>
      </c>
      <c r="BH10">
        <v>9088.709000000001</v>
      </c>
      <c r="BI10">
        <v>-4784.603</v>
      </c>
      <c r="BJ10">
        <v>0</v>
      </c>
      <c r="BK10">
        <v>324676.749</v>
      </c>
      <c r="BL10">
        <v>357247.165</v>
      </c>
      <c r="BM10">
        <v>351551.953</v>
      </c>
      <c r="BN10">
        <v>503857000000</v>
      </c>
      <c r="BO10">
        <v>1138563000000</v>
      </c>
      <c r="BP10">
        <v>-0.4281846539699319</v>
      </c>
      <c r="BQ10">
        <v>32570.416</v>
      </c>
      <c r="BR10">
        <v>26.4343787085665</v>
      </c>
      <c r="BS10">
        <v>5.020426144394628</v>
      </c>
      <c r="BT10">
        <v>12.92412633820425</v>
      </c>
      <c r="BU10">
        <v>9.117053735052034</v>
      </c>
      <c r="BV10">
        <v>15453.25864116492</v>
      </c>
      <c r="BW10">
        <v>625.491</v>
      </c>
      <c r="BX10">
        <v>3159.083</v>
      </c>
      <c r="BY10">
        <v>8800.744999999999</v>
      </c>
      <c r="BZ10">
        <v>8.413925325139559</v>
      </c>
      <c r="CA10">
        <v>7.032624949703248</v>
      </c>
      <c r="CB10">
        <v>-5.820766091346741E-11</v>
      </c>
      <c r="CC10">
        <v>0</v>
      </c>
      <c r="CD10">
        <v>0</v>
      </c>
      <c r="CE10">
        <v>0</v>
      </c>
      <c r="CF10">
        <v>4.547473508864641E-13</v>
      </c>
      <c r="CG10">
        <v>0</v>
      </c>
      <c r="CH10">
        <v>0</v>
      </c>
      <c r="CI10">
        <v>0</v>
      </c>
    </row>
    <row r="11" spans="1:87">
      <c r="A11" t="s">
        <v>743</v>
      </c>
      <c r="B11" t="s">
        <v>8</v>
      </c>
      <c r="C11" t="s">
        <v>757</v>
      </c>
      <c r="D11">
        <v>4401.862</v>
      </c>
      <c r="E11">
        <v>786.072</v>
      </c>
      <c r="F11">
        <v>5363.904</v>
      </c>
      <c r="G11">
        <v>-1555.747</v>
      </c>
      <c r="H11">
        <v>3808.157</v>
      </c>
      <c r="I11">
        <v>-860.152</v>
      </c>
      <c r="J11">
        <v>2948.005</v>
      </c>
      <c r="K11">
        <v>2358.4</v>
      </c>
      <c r="L11">
        <v>2358.4</v>
      </c>
      <c r="M11">
        <v>930</v>
      </c>
      <c r="N11">
        <v>234678.172</v>
      </c>
      <c r="O11">
        <v>-3331.17</v>
      </c>
      <c r="P11">
        <v>205302.772</v>
      </c>
      <c r="Q11">
        <v>25346.83</v>
      </c>
      <c r="R11">
        <v>378662.835</v>
      </c>
      <c r="S11">
        <v>33909.846</v>
      </c>
      <c r="T11">
        <v>25368.075</v>
      </c>
      <c r="U11">
        <v>234678172000000</v>
      </c>
      <c r="V11">
        <v>211091954000000</v>
      </c>
      <c r="W11">
        <v>15057440000000</v>
      </c>
      <c r="X11">
        <v>3149028000000</v>
      </c>
      <c r="Y11">
        <v>3539332000000</v>
      </c>
      <c r="Z11">
        <v>1840418000000</v>
      </c>
      <c r="AA11">
        <v>205302772000000</v>
      </c>
      <c r="AB11">
        <v>24563836000000</v>
      </c>
      <c r="AC11">
        <v>0</v>
      </c>
      <c r="AD11">
        <v>0.1206</v>
      </c>
      <c r="AE11">
        <v>0</v>
      </c>
      <c r="AF11">
        <v>0</v>
      </c>
      <c r="AG11">
        <v>3.634244261967407</v>
      </c>
      <c r="AH11">
        <v>6.416208150794697</v>
      </c>
      <c r="AI11">
        <v>11.96468793904059</v>
      </c>
      <c r="AJ11">
        <v>0.1206</v>
      </c>
      <c r="AK11">
        <v>39.05799869570998</v>
      </c>
      <c r="AL11">
        <v>29.00400529166816</v>
      </c>
      <c r="AM11">
        <v>1.483482461937376</v>
      </c>
      <c r="AN11">
        <v>28.38015289410261</v>
      </c>
      <c r="AO11">
        <v>2.56379176801511</v>
      </c>
      <c r="AP11">
        <v>7.429117007727393</v>
      </c>
      <c r="AQ11">
        <v>18.98226697787191</v>
      </c>
      <c r="AR11">
        <v>1.17879997386956</v>
      </c>
      <c r="AS11">
        <v>114.308330917227</v>
      </c>
      <c r="AT11">
        <v>16453.037</v>
      </c>
      <c r="AU11">
        <v>19606.621</v>
      </c>
      <c r="AV11">
        <v>-6359.231</v>
      </c>
      <c r="AW11">
        <v>-2047.328</v>
      </c>
      <c r="AX11">
        <v>11200.062</v>
      </c>
      <c r="AY11">
        <v>8963.837</v>
      </c>
      <c r="AZ11">
        <v>13367.13408486848</v>
      </c>
      <c r="BA11">
        <v>-589.605</v>
      </c>
      <c r="BB11">
        <v>0</v>
      </c>
      <c r="BC11">
        <v>9.765000000000001</v>
      </c>
      <c r="BD11">
        <v>0</v>
      </c>
      <c r="BE11">
        <v>-3.957</v>
      </c>
      <c r="BF11">
        <v>170.162</v>
      </c>
      <c r="BG11">
        <v>0</v>
      </c>
      <c r="BH11">
        <v>9396.200000000001</v>
      </c>
      <c r="BI11">
        <v>-4994.338</v>
      </c>
      <c r="BJ11">
        <v>0</v>
      </c>
      <c r="BK11">
        <v>344752.989</v>
      </c>
      <c r="BL11">
        <v>378662.835</v>
      </c>
      <c r="BM11">
        <v>371219.835</v>
      </c>
      <c r="BN11">
        <v>205995000000</v>
      </c>
      <c r="BO11">
        <v>143128000000</v>
      </c>
      <c r="BP11">
        <v>2.587812332697426</v>
      </c>
      <c r="BQ11">
        <v>33909.846</v>
      </c>
      <c r="BR11">
        <v>28.38015289410261</v>
      </c>
      <c r="BS11">
        <v>4.872201237605584</v>
      </c>
      <c r="BT11">
        <v>12.13474068435861</v>
      </c>
      <c r="BU11">
        <v>8.955155580557568</v>
      </c>
      <c r="BV11">
        <v>13367.13408486848</v>
      </c>
      <c r="BW11">
        <v>962.0420000000004</v>
      </c>
      <c r="BX11">
        <v>3039.788</v>
      </c>
      <c r="BY11">
        <v>8963.837</v>
      </c>
      <c r="BZ11">
        <v>4.125019503524419</v>
      </c>
      <c r="CA11">
        <v>5.844587165865867</v>
      </c>
      <c r="CB11">
        <v>0</v>
      </c>
      <c r="CC11">
        <v>0</v>
      </c>
      <c r="CD11">
        <v>0</v>
      </c>
      <c r="CE11">
        <v>0</v>
      </c>
      <c r="CF11">
        <v>0</v>
      </c>
      <c r="CG11">
        <v>0</v>
      </c>
      <c r="CH11">
        <v>0</v>
      </c>
      <c r="CI11">
        <v>0</v>
      </c>
    </row>
    <row r="12" spans="1:87">
      <c r="A12" t="s">
        <v>744</v>
      </c>
      <c r="B12" t="s">
        <v>8</v>
      </c>
      <c r="C12" t="s">
        <v>758</v>
      </c>
      <c r="D12">
        <v>4673.187</v>
      </c>
      <c r="E12">
        <v>710.271</v>
      </c>
      <c r="F12">
        <v>6024.496</v>
      </c>
      <c r="G12">
        <v>-1716.919</v>
      </c>
      <c r="H12">
        <v>4307.577</v>
      </c>
      <c r="I12">
        <v>-1624.784</v>
      </c>
      <c r="J12">
        <v>2682.793</v>
      </c>
      <c r="K12">
        <v>2146.903</v>
      </c>
      <c r="L12">
        <v>2146.903</v>
      </c>
      <c r="M12">
        <v>721</v>
      </c>
      <c r="N12">
        <v>245630.024</v>
      </c>
      <c r="O12">
        <v>-3739.286</v>
      </c>
      <c r="P12">
        <v>213533.762</v>
      </c>
      <c r="Q12">
        <v>23526.936</v>
      </c>
      <c r="R12">
        <v>384419.101</v>
      </c>
      <c r="S12">
        <v>36039.756</v>
      </c>
      <c r="T12">
        <v>25368.075</v>
      </c>
      <c r="U12">
        <v>245630024000000</v>
      </c>
      <c r="V12">
        <v>220748893000000</v>
      </c>
      <c r="W12">
        <v>15841496000000</v>
      </c>
      <c r="X12">
        <v>3057632000000</v>
      </c>
      <c r="Y12">
        <v>4673109000000</v>
      </c>
      <c r="Z12">
        <v>1308894000000</v>
      </c>
      <c r="AA12">
        <v>213533762000000</v>
      </c>
      <c r="AB12">
        <v>27269350000000</v>
      </c>
      <c r="AC12">
        <v>0</v>
      </c>
      <c r="AD12">
        <v>0</v>
      </c>
      <c r="AE12">
        <v>0</v>
      </c>
      <c r="AF12">
        <v>0</v>
      </c>
      <c r="AG12">
        <v>3.68018324991085</v>
      </c>
      <c r="AH12">
        <v>6.449332106078368</v>
      </c>
      <c r="AI12">
        <v>12.77050979882048</v>
      </c>
      <c r="AJ12">
        <v>0</v>
      </c>
      <c r="AK12">
        <v>41.36545336177844</v>
      </c>
      <c r="AL12">
        <v>28.49896489266488</v>
      </c>
      <c r="AM12">
        <v>2.706235727028901</v>
      </c>
      <c r="AN12">
        <v>24.55371225700469</v>
      </c>
      <c r="AO12">
        <v>2.250770617114962</v>
      </c>
      <c r="AP12">
        <v>-3.873185675517288</v>
      </c>
      <c r="AQ12">
        <v>21.82358940028593</v>
      </c>
      <c r="AR12">
        <v>5.900565246744716</v>
      </c>
      <c r="AS12">
        <v>115.0310010461016</v>
      </c>
      <c r="AT12">
        <v>17290.196</v>
      </c>
      <c r="AU12">
        <v>21004.6</v>
      </c>
      <c r="AV12">
        <v>-6406.396000000001</v>
      </c>
      <c r="AW12">
        <v>-3506.472</v>
      </c>
      <c r="AX12">
        <v>11091.732</v>
      </c>
      <c r="AY12">
        <v>8877.332999999999</v>
      </c>
      <c r="AZ12">
        <v>14206.73661679099</v>
      </c>
      <c r="BA12">
        <v>-535.89</v>
      </c>
      <c r="BB12">
        <v>0</v>
      </c>
      <c r="BC12">
        <v>322.106</v>
      </c>
      <c r="BD12">
        <v>0</v>
      </c>
      <c r="BE12">
        <v>113.469</v>
      </c>
      <c r="BF12">
        <v>202.118</v>
      </c>
      <c r="BG12">
        <v>3.345</v>
      </c>
      <c r="BH12">
        <v>9043.221</v>
      </c>
      <c r="BI12">
        <v>-4370.034</v>
      </c>
      <c r="BJ12">
        <v>0</v>
      </c>
      <c r="BK12">
        <v>348379.345</v>
      </c>
      <c r="BL12">
        <v>384419.101</v>
      </c>
      <c r="BM12">
        <v>377126.176</v>
      </c>
      <c r="BN12">
        <v>337785000000</v>
      </c>
      <c r="BO12">
        <v>174236000000</v>
      </c>
      <c r="BP12">
        <v>6.700758539932794</v>
      </c>
      <c r="BQ12">
        <v>36039.756</v>
      </c>
      <c r="BR12">
        <v>24.55371225700469</v>
      </c>
      <c r="BS12">
        <v>4.995750020774816</v>
      </c>
      <c r="BT12">
        <v>13.01029436272471</v>
      </c>
      <c r="BU12">
        <v>9.375121034893631</v>
      </c>
      <c r="BV12">
        <v>14206.73661679099</v>
      </c>
      <c r="BW12">
        <v>1351.309</v>
      </c>
      <c r="BX12">
        <v>2954.586</v>
      </c>
      <c r="BY12">
        <v>8877.332999999999</v>
      </c>
      <c r="BZ12">
        <v>12.96085927837687</v>
      </c>
      <c r="CA12">
        <v>8.612460542204147</v>
      </c>
      <c r="CB12">
        <v>5.820766091346741E-11</v>
      </c>
      <c r="CC12">
        <v>0</v>
      </c>
      <c r="CD12">
        <v>0</v>
      </c>
      <c r="CE12">
        <v>-4.547473508864641E-13</v>
      </c>
      <c r="CF12">
        <v>0</v>
      </c>
      <c r="CG12">
        <v>0</v>
      </c>
      <c r="CH12">
        <v>0</v>
      </c>
      <c r="CI12">
        <v>0</v>
      </c>
    </row>
    <row r="13" spans="1:87">
      <c r="A13" t="s">
        <v>745</v>
      </c>
      <c r="B13" t="s">
        <v>8</v>
      </c>
      <c r="C13" t="s">
        <v>759</v>
      </c>
      <c r="D13">
        <v>4333.289</v>
      </c>
      <c r="E13">
        <v>860.116</v>
      </c>
      <c r="F13">
        <v>5842.493</v>
      </c>
      <c r="G13">
        <v>-1770.567</v>
      </c>
      <c r="H13">
        <v>4071.926</v>
      </c>
      <c r="I13">
        <v>-1693.469</v>
      </c>
      <c r="J13">
        <v>2378.457</v>
      </c>
      <c r="K13">
        <v>1902.006</v>
      </c>
      <c r="L13">
        <v>1902.006</v>
      </c>
      <c r="M13">
        <v>750</v>
      </c>
      <c r="N13">
        <v>266345.545</v>
      </c>
      <c r="O13">
        <v>-4271.317</v>
      </c>
      <c r="P13">
        <v>236577.266</v>
      </c>
      <c r="Q13">
        <v>23896.936</v>
      </c>
      <c r="R13">
        <v>409880.584</v>
      </c>
      <c r="S13">
        <v>37938.955</v>
      </c>
      <c r="T13">
        <v>25368.075</v>
      </c>
      <c r="U13">
        <v>266345545000000</v>
      </c>
      <c r="V13">
        <v>243146729000000</v>
      </c>
      <c r="W13">
        <v>14824225000000</v>
      </c>
      <c r="X13">
        <v>2479317000000</v>
      </c>
      <c r="Y13">
        <v>3697136000000</v>
      </c>
      <c r="Z13">
        <v>2198138000000</v>
      </c>
      <c r="AA13">
        <v>236577266000000</v>
      </c>
      <c r="AB13">
        <v>31229736000000</v>
      </c>
      <c r="AC13">
        <v>0</v>
      </c>
      <c r="AD13">
        <v>0</v>
      </c>
      <c r="AE13">
        <v>0</v>
      </c>
      <c r="AF13">
        <v>0</v>
      </c>
      <c r="AG13">
        <v>3.144257960087149</v>
      </c>
      <c r="AH13">
        <v>5.565786730166634</v>
      </c>
      <c r="AI13">
        <v>13.20064963469482</v>
      </c>
      <c r="AJ13">
        <v>0</v>
      </c>
      <c r="AK13">
        <v>51.00329078757399</v>
      </c>
      <c r="AL13">
        <v>30.30499137953609</v>
      </c>
      <c r="AM13">
        <v>2.646171579331748</v>
      </c>
      <c r="AN13">
        <v>20.56814425977224</v>
      </c>
      <c r="AO13">
        <v>1.915655801877852</v>
      </c>
      <c r="AP13">
        <v>-14.20498448522476</v>
      </c>
      <c r="AQ13">
        <v>10.79630717243822</v>
      </c>
      <c r="AR13">
        <v>14.83182433126449</v>
      </c>
      <c r="AS13">
        <v>112.5828992376638</v>
      </c>
      <c r="AT13">
        <v>17712.444</v>
      </c>
      <c r="AU13">
        <v>22160.49</v>
      </c>
      <c r="AV13">
        <v>-6610.743</v>
      </c>
      <c r="AW13">
        <v>-4846.592000000001</v>
      </c>
      <c r="AX13">
        <v>10703.155</v>
      </c>
      <c r="AY13">
        <v>8562.42</v>
      </c>
      <c r="AZ13">
        <v>14955.39373799549</v>
      </c>
      <c r="BA13">
        <v>-476.451</v>
      </c>
      <c r="BB13">
        <v>0</v>
      </c>
      <c r="BC13">
        <v>244.448</v>
      </c>
      <c r="BD13">
        <v>0</v>
      </c>
      <c r="BE13">
        <v>30.545</v>
      </c>
      <c r="BF13">
        <v>374.095</v>
      </c>
      <c r="BG13">
        <v>0</v>
      </c>
      <c r="BH13">
        <v>8391.43</v>
      </c>
      <c r="BI13">
        <v>-4058.141</v>
      </c>
      <c r="BJ13">
        <v>0</v>
      </c>
      <c r="BK13">
        <v>371941.629</v>
      </c>
      <c r="BL13">
        <v>409880.584</v>
      </c>
      <c r="BM13">
        <v>403776.039</v>
      </c>
      <c r="BN13">
        <v>333686000000</v>
      </c>
      <c r="BO13">
        <v>55907000000</v>
      </c>
      <c r="BP13">
        <v>18.21537493215455</v>
      </c>
      <c r="BQ13">
        <v>37938.955</v>
      </c>
      <c r="BR13">
        <v>20.56814425977224</v>
      </c>
      <c r="BS13">
        <v>4.43926414013309</v>
      </c>
      <c r="BT13">
        <v>13.36532860262237</v>
      </c>
      <c r="BU13">
        <v>9.256099576553742</v>
      </c>
      <c r="BV13">
        <v>14955.39373799549</v>
      </c>
      <c r="BW13">
        <v>1509.204000000001</v>
      </c>
      <c r="BX13">
        <v>2974.89</v>
      </c>
      <c r="BY13">
        <v>8562.42</v>
      </c>
      <c r="BZ13">
        <v>18.21537493215455</v>
      </c>
      <c r="CA13">
        <v>14.83182433126449</v>
      </c>
      <c r="CB13">
        <v>-5.820766091346741E-11</v>
      </c>
      <c r="CC13">
        <v>0</v>
      </c>
      <c r="CD13">
        <v>0</v>
      </c>
      <c r="CE13">
        <v>2.273736754432321E-13</v>
      </c>
      <c r="CF13">
        <v>-4.547473508864641E-13</v>
      </c>
      <c r="CG13">
        <v>0</v>
      </c>
      <c r="CH13">
        <v>0</v>
      </c>
      <c r="CI13">
        <v>0</v>
      </c>
    </row>
    <row r="14" spans="1:87">
      <c r="A14" t="s">
        <v>746</v>
      </c>
      <c r="B14" t="s">
        <v>8</v>
      </c>
      <c r="C14" t="s">
        <v>760</v>
      </c>
      <c r="D14">
        <v>4357.794</v>
      </c>
      <c r="E14">
        <v>431.794</v>
      </c>
      <c r="F14">
        <v>5318.51</v>
      </c>
      <c r="G14">
        <v>-1871.092</v>
      </c>
      <c r="H14">
        <v>3447.418</v>
      </c>
      <c r="I14">
        <v>-945.4880000000001</v>
      </c>
      <c r="J14">
        <v>2501.93</v>
      </c>
      <c r="K14">
        <v>2001.143</v>
      </c>
      <c r="L14">
        <v>2001.143</v>
      </c>
      <c r="M14">
        <v>621</v>
      </c>
      <c r="N14">
        <v>267708.603</v>
      </c>
      <c r="O14">
        <v>-4797.759</v>
      </c>
      <c r="P14">
        <v>234210.794</v>
      </c>
      <c r="Q14">
        <v>23195.805</v>
      </c>
      <c r="R14">
        <v>413887.815</v>
      </c>
      <c r="S14">
        <v>38415.725</v>
      </c>
      <c r="T14">
        <v>25368.075</v>
      </c>
      <c r="U14">
        <v>267708603000000</v>
      </c>
      <c r="V14">
        <v>242962606000000</v>
      </c>
      <c r="W14">
        <v>15112796000000</v>
      </c>
      <c r="X14">
        <v>2529739000000</v>
      </c>
      <c r="Y14">
        <v>3538056000000</v>
      </c>
      <c r="Z14">
        <v>3565406000000</v>
      </c>
      <c r="AA14">
        <v>234210794000000</v>
      </c>
      <c r="AB14">
        <v>30962732000000</v>
      </c>
      <c r="AC14">
        <v>0</v>
      </c>
      <c r="AD14">
        <v>0</v>
      </c>
      <c r="AE14">
        <v>0</v>
      </c>
      <c r="AF14">
        <v>0</v>
      </c>
      <c r="AG14">
        <v>3.598390523146542</v>
      </c>
      <c r="AH14">
        <v>5.645241068326818</v>
      </c>
      <c r="AI14">
        <v>13.22002776695253</v>
      </c>
      <c r="AJ14">
        <v>0</v>
      </c>
      <c r="AK14">
        <v>49.80441080799623</v>
      </c>
      <c r="AL14">
        <v>35.18075551235215</v>
      </c>
      <c r="AM14">
        <v>1.416317807534377</v>
      </c>
      <c r="AN14">
        <v>20.96681434589209</v>
      </c>
      <c r="AO14">
        <v>1.943403512374842</v>
      </c>
      <c r="AP14">
        <v>-7.144318784508075</v>
      </c>
      <c r="AQ14">
        <v>1.247367049045733</v>
      </c>
      <c r="AR14">
        <v>0.5117630182250643</v>
      </c>
      <c r="AS14">
        <v>114.3024189568308</v>
      </c>
      <c r="AT14">
        <v>17766.132</v>
      </c>
      <c r="AU14">
        <v>22549.403</v>
      </c>
      <c r="AV14">
        <v>-6914.325</v>
      </c>
      <c r="AW14">
        <v>-5123.893</v>
      </c>
      <c r="AX14">
        <v>10511.185</v>
      </c>
      <c r="AY14">
        <v>8408.451999999999</v>
      </c>
      <c r="AZ14">
        <v>15143.33468345548</v>
      </c>
      <c r="BA14">
        <v>-500.787</v>
      </c>
      <c r="BB14">
        <v>0</v>
      </c>
      <c r="BC14">
        <v>289.856</v>
      </c>
      <c r="BD14">
        <v>0</v>
      </c>
      <c r="BE14">
        <v>12.847</v>
      </c>
      <c r="BF14">
        <v>226.219</v>
      </c>
      <c r="BG14">
        <v>0</v>
      </c>
      <c r="BH14">
        <v>7987.745</v>
      </c>
      <c r="BI14">
        <v>-3629.951</v>
      </c>
      <c r="BJ14">
        <v>0</v>
      </c>
      <c r="BK14">
        <v>375472.09</v>
      </c>
      <c r="BL14">
        <v>413887.815</v>
      </c>
      <c r="BM14">
        <v>408566.068</v>
      </c>
      <c r="BN14">
        <v>312727000000</v>
      </c>
      <c r="BO14">
        <v>20485000000</v>
      </c>
      <c r="BP14">
        <v>-1.000295607440149</v>
      </c>
      <c r="BQ14">
        <v>38415.725</v>
      </c>
      <c r="BR14">
        <v>20.96681434589209</v>
      </c>
      <c r="BS14">
        <v>4.291584998437117</v>
      </c>
      <c r="BT14">
        <v>13.3622978964838</v>
      </c>
      <c r="BU14">
        <v>9.281675760374824</v>
      </c>
      <c r="BV14">
        <v>15143.33468345548</v>
      </c>
      <c r="BW14">
        <v>960.7160000000003</v>
      </c>
      <c r="BX14">
        <v>2788.253</v>
      </c>
      <c r="BY14">
        <v>8408.451999999999</v>
      </c>
      <c r="BZ14">
        <v>17.53614345854688</v>
      </c>
      <c r="CA14">
        <v>16.81283044161999</v>
      </c>
      <c r="CB14">
        <v>0</v>
      </c>
      <c r="CC14">
        <v>9.094947017729282E-13</v>
      </c>
      <c r="CD14">
        <v>-4.547473508864641E-13</v>
      </c>
      <c r="CE14">
        <v>2.273736754432321E-13</v>
      </c>
      <c r="CF14">
        <v>0</v>
      </c>
      <c r="CG14">
        <v>0</v>
      </c>
      <c r="CH14">
        <v>0</v>
      </c>
      <c r="CI14">
        <v>0</v>
      </c>
    </row>
    <row r="15" spans="1:87">
      <c r="A15" t="s">
        <v>747</v>
      </c>
      <c r="B15" t="s">
        <v>8</v>
      </c>
      <c r="C15" t="s">
        <v>761</v>
      </c>
      <c r="D15">
        <v>4316.913</v>
      </c>
      <c r="E15">
        <v>370.336</v>
      </c>
      <c r="F15">
        <v>5039.19</v>
      </c>
      <c r="G15">
        <v>-1806.19</v>
      </c>
      <c r="H15">
        <v>3233</v>
      </c>
      <c r="I15">
        <v>-1129.885</v>
      </c>
      <c r="J15">
        <v>2103.115</v>
      </c>
      <c r="K15">
        <v>1682.962</v>
      </c>
      <c r="L15">
        <v>1682.962</v>
      </c>
      <c r="M15">
        <v>565</v>
      </c>
      <c r="N15">
        <v>278906.037</v>
      </c>
      <c r="O15">
        <v>-4909.842</v>
      </c>
      <c r="P15">
        <v>247629.776</v>
      </c>
      <c r="Q15">
        <v>15994.695</v>
      </c>
      <c r="R15">
        <v>430962.08</v>
      </c>
      <c r="S15">
        <v>38350.429</v>
      </c>
      <c r="T15">
        <v>25368.075</v>
      </c>
      <c r="U15">
        <v>278906037000000</v>
      </c>
      <c r="V15">
        <v>256271610000000</v>
      </c>
      <c r="W15">
        <v>12433168000000</v>
      </c>
      <c r="X15">
        <v>2266782000000</v>
      </c>
      <c r="Y15">
        <v>3728942000000</v>
      </c>
      <c r="Z15">
        <v>4205535000000</v>
      </c>
      <c r="AA15">
        <v>247629776000000</v>
      </c>
      <c r="AB15">
        <v>36312067000000</v>
      </c>
      <c r="AC15">
        <v>0</v>
      </c>
      <c r="AD15">
        <v>0.1181</v>
      </c>
      <c r="AE15">
        <v>0</v>
      </c>
      <c r="AF15">
        <v>0</v>
      </c>
      <c r="AG15">
        <v>3.657597056602974</v>
      </c>
      <c r="AH15">
        <v>4.457833947853914</v>
      </c>
      <c r="AI15">
        <v>14.66385326779119</v>
      </c>
      <c r="AJ15">
        <v>0.1181</v>
      </c>
      <c r="AK15">
        <v>48.12976515937885</v>
      </c>
      <c r="AL15">
        <v>35.8428636348302</v>
      </c>
      <c r="AM15">
        <v>1.653647622756683</v>
      </c>
      <c r="AN15">
        <v>17.53858347521227</v>
      </c>
      <c r="AO15">
        <v>1.593619893862921</v>
      </c>
      <c r="AP15">
        <v>-28.63967096336499</v>
      </c>
      <c r="AQ15">
        <v>-1.9298424166864</v>
      </c>
      <c r="AR15">
        <v>4.715863372146889</v>
      </c>
      <c r="AS15">
        <v>112.6302504913626</v>
      </c>
      <c r="AT15">
        <v>17681.183</v>
      </c>
      <c r="AU15">
        <v>22224.689</v>
      </c>
      <c r="AV15">
        <v>-7164.768</v>
      </c>
      <c r="AW15">
        <v>-5393.626</v>
      </c>
      <c r="AX15">
        <v>9666.295</v>
      </c>
      <c r="AY15">
        <v>7733.014</v>
      </c>
      <c r="AZ15">
        <v>15117.59524520485</v>
      </c>
      <c r="BA15">
        <v>-420.153</v>
      </c>
      <c r="BB15">
        <v>0</v>
      </c>
      <c r="BC15">
        <v>25.587</v>
      </c>
      <c r="BD15">
        <v>0</v>
      </c>
      <c r="BE15">
        <v>24.085</v>
      </c>
      <c r="BF15">
        <v>301.869</v>
      </c>
      <c r="BG15">
        <v>0.4</v>
      </c>
      <c r="BH15">
        <v>8042.549</v>
      </c>
      <c r="BI15">
        <v>-3725.636</v>
      </c>
      <c r="BJ15">
        <v>0</v>
      </c>
      <c r="BK15">
        <v>392611.651</v>
      </c>
      <c r="BL15">
        <v>430962.08</v>
      </c>
      <c r="BM15">
        <v>427967.401</v>
      </c>
      <c r="BN15">
        <v>395298000000</v>
      </c>
      <c r="BO15">
        <v>123819000000</v>
      </c>
      <c r="BP15">
        <v>4.671839431942715</v>
      </c>
      <c r="BQ15">
        <v>38350.429</v>
      </c>
      <c r="BR15">
        <v>17.53858347521227</v>
      </c>
      <c r="BS15">
        <v>4.128382817878623</v>
      </c>
      <c r="BT15">
        <v>14.87348758898849</v>
      </c>
      <c r="BU15">
        <v>8.898794297632866</v>
      </c>
      <c r="BV15">
        <v>15117.59524520485</v>
      </c>
      <c r="BW15">
        <v>722.277</v>
      </c>
      <c r="BX15">
        <v>2372.517</v>
      </c>
      <c r="BY15">
        <v>7733.014</v>
      </c>
      <c r="BZ15">
        <v>20.61686921596948</v>
      </c>
      <c r="CA15">
        <v>18.84617756439657</v>
      </c>
      <c r="CB15">
        <v>0</v>
      </c>
      <c r="CC15">
        <v>0</v>
      </c>
      <c r="CD15">
        <v>0</v>
      </c>
      <c r="CE15">
        <v>2.273736754432321E-13</v>
      </c>
      <c r="CF15">
        <v>4.547473508864641E-13</v>
      </c>
      <c r="CG15">
        <v>0</v>
      </c>
      <c r="CH15">
        <v>0</v>
      </c>
      <c r="CI15">
        <v>0</v>
      </c>
    </row>
    <row r="16" spans="1:87">
      <c r="A16" t="s">
        <v>436</v>
      </c>
      <c r="B16" t="s">
        <v>8</v>
      </c>
      <c r="C16" t="s">
        <v>762</v>
      </c>
      <c r="D16">
        <v>4159.34</v>
      </c>
      <c r="E16">
        <v>309.579</v>
      </c>
      <c r="F16">
        <v>4935.98</v>
      </c>
      <c r="G16">
        <v>-1782.264</v>
      </c>
      <c r="H16">
        <v>3153.716</v>
      </c>
      <c r="I16">
        <v>-1155.569</v>
      </c>
      <c r="J16">
        <v>1998.147</v>
      </c>
      <c r="K16">
        <v>1599.173</v>
      </c>
      <c r="L16">
        <v>1599.173</v>
      </c>
      <c r="M16">
        <v>322</v>
      </c>
      <c r="N16">
        <v>297549.717</v>
      </c>
      <c r="O16">
        <v>-5403.544</v>
      </c>
      <c r="P16">
        <v>255632.643</v>
      </c>
      <c r="Q16">
        <v>21955.688</v>
      </c>
      <c r="R16">
        <v>445377.594</v>
      </c>
      <c r="S16">
        <v>39942.085</v>
      </c>
      <c r="T16">
        <v>29791.278</v>
      </c>
      <c r="U16">
        <v>297549717000000</v>
      </c>
      <c r="V16">
        <v>275242650000000</v>
      </c>
      <c r="W16">
        <v>10845827000000</v>
      </c>
      <c r="X16">
        <v>2265095000000</v>
      </c>
      <c r="Y16">
        <v>3210089000000</v>
      </c>
      <c r="Z16">
        <v>5986056000000</v>
      </c>
      <c r="AA16">
        <v>255632643000000</v>
      </c>
      <c r="AB16">
        <v>34596331000000</v>
      </c>
      <c r="AC16">
        <v>0</v>
      </c>
      <c r="AD16">
        <v>0</v>
      </c>
      <c r="AE16">
        <v>0</v>
      </c>
      <c r="AF16">
        <v>0</v>
      </c>
      <c r="AG16">
        <v>3.851873937423372</v>
      </c>
      <c r="AH16">
        <v>3.645046988903706</v>
      </c>
      <c r="AI16">
        <v>13.53361237203184</v>
      </c>
      <c r="AJ16">
        <v>0</v>
      </c>
      <c r="AK16">
        <v>47.14624246591119</v>
      </c>
      <c r="AL16">
        <v>36.107601732584</v>
      </c>
      <c r="AM16">
        <v>1.603688042985516</v>
      </c>
      <c r="AN16">
        <v>16.34049457142224</v>
      </c>
      <c r="AO16">
        <v>1.459865892138075</v>
      </c>
      <c r="AP16">
        <v>-25.5125639118302</v>
      </c>
      <c r="AQ16">
        <v>-10.99564387215833</v>
      </c>
      <c r="AR16">
        <v>11.7156725861512</v>
      </c>
      <c r="AS16">
        <v>116.3973870895666</v>
      </c>
      <c r="AT16">
        <v>17167.336</v>
      </c>
      <c r="AU16">
        <v>21136.173</v>
      </c>
      <c r="AV16">
        <v>-7230.112999999999</v>
      </c>
      <c r="AW16">
        <v>-4924.411</v>
      </c>
      <c r="AX16">
        <v>8981.648999999999</v>
      </c>
      <c r="AY16">
        <v>7185.284</v>
      </c>
      <c r="AZ16">
        <v>13407.3083403807</v>
      </c>
      <c r="BA16">
        <v>-398.974</v>
      </c>
      <c r="BB16">
        <v>0</v>
      </c>
      <c r="BC16">
        <v>136.506</v>
      </c>
      <c r="BD16">
        <v>0</v>
      </c>
      <c r="BE16">
        <v>65.932</v>
      </c>
      <c r="BF16">
        <v>261.277</v>
      </c>
      <c r="BG16">
        <v>3.346</v>
      </c>
      <c r="BH16">
        <v>8144.422</v>
      </c>
      <c r="BI16">
        <v>-3985.082</v>
      </c>
      <c r="BJ16">
        <v>0</v>
      </c>
      <c r="BK16">
        <v>405435.509</v>
      </c>
      <c r="BL16">
        <v>445377.594</v>
      </c>
      <c r="BM16">
        <v>443138.645</v>
      </c>
      <c r="BN16">
        <v>255076000000</v>
      </c>
      <c r="BO16">
        <v>88303000000</v>
      </c>
      <c r="BP16">
        <v>8.054610369873828</v>
      </c>
      <c r="BQ16">
        <v>39942.085</v>
      </c>
      <c r="BR16">
        <v>16.34049457142224</v>
      </c>
      <c r="BS16">
        <v>3.819824251340346</v>
      </c>
      <c r="BT16">
        <v>13.66793754896162</v>
      </c>
      <c r="BU16">
        <v>8.968139739872051</v>
      </c>
      <c r="BV16">
        <v>13407.3083403807</v>
      </c>
      <c r="BW16">
        <v>776.6399999999994</v>
      </c>
      <c r="BX16">
        <v>1971.825</v>
      </c>
      <c r="BY16">
        <v>7185.284</v>
      </c>
      <c r="BZ16">
        <v>19.71532773351319</v>
      </c>
      <c r="CA16">
        <v>21.13735615642818</v>
      </c>
      <c r="CB16">
        <v>-5.820766091346741E-11</v>
      </c>
      <c r="CC16">
        <v>0</v>
      </c>
      <c r="CD16">
        <v>0</v>
      </c>
      <c r="CE16">
        <v>0</v>
      </c>
      <c r="CF16">
        <v>4.547473508864641E-13</v>
      </c>
      <c r="CG16">
        <v>0</v>
      </c>
      <c r="CH16">
        <v>0</v>
      </c>
      <c r="CI16">
        <v>0</v>
      </c>
    </row>
    <row r="17" spans="1:87">
      <c r="A17" t="s">
        <v>437</v>
      </c>
      <c r="B17" t="s">
        <v>8</v>
      </c>
      <c r="C17" t="s">
        <v>763</v>
      </c>
      <c r="D17">
        <v>3916.365</v>
      </c>
      <c r="E17">
        <v>653.75</v>
      </c>
      <c r="F17">
        <v>5275.372</v>
      </c>
      <c r="G17">
        <v>-1751.746</v>
      </c>
      <c r="H17">
        <v>3523.626</v>
      </c>
      <c r="I17">
        <v>-1122.516</v>
      </c>
      <c r="J17">
        <v>2401.11</v>
      </c>
      <c r="K17">
        <v>1921.192</v>
      </c>
      <c r="L17">
        <v>1921.192</v>
      </c>
      <c r="M17">
        <v>877</v>
      </c>
      <c r="N17">
        <v>324009.713</v>
      </c>
      <c r="O17">
        <v>-5693.634</v>
      </c>
      <c r="P17">
        <v>276308.322</v>
      </c>
      <c r="Q17">
        <v>23262.579</v>
      </c>
      <c r="R17">
        <v>493158.37</v>
      </c>
      <c r="S17">
        <v>41861.809</v>
      </c>
      <c r="T17">
        <v>29791.278</v>
      </c>
      <c r="U17">
        <v>324009713000000</v>
      </c>
      <c r="V17">
        <v>301905639000000</v>
      </c>
      <c r="W17">
        <v>10730560000000</v>
      </c>
      <c r="X17">
        <v>2305497000000</v>
      </c>
      <c r="Y17">
        <v>2670580000000</v>
      </c>
      <c r="Z17">
        <v>6397437000000</v>
      </c>
      <c r="AA17">
        <v>276308322000000</v>
      </c>
      <c r="AB17">
        <v>38534487000000</v>
      </c>
      <c r="AC17">
        <v>0</v>
      </c>
      <c r="AD17">
        <v>0</v>
      </c>
      <c r="AE17">
        <v>0</v>
      </c>
      <c r="AF17">
        <v>0</v>
      </c>
      <c r="AG17">
        <v>3.510238595841106</v>
      </c>
      <c r="AH17">
        <v>3.311801952060616</v>
      </c>
      <c r="AI17">
        <v>13.94619124066774</v>
      </c>
      <c r="AJ17">
        <v>0</v>
      </c>
      <c r="AK17">
        <v>50.06046504185074</v>
      </c>
      <c r="AL17">
        <v>33.20611323713285</v>
      </c>
      <c r="AM17">
        <v>1.444773832809519</v>
      </c>
      <c r="AN17">
        <v>18.78826941905724</v>
      </c>
      <c r="AO17">
        <v>1.637607570678027</v>
      </c>
      <c r="AP17">
        <v>1.008724473003753</v>
      </c>
      <c r="AQ17">
        <v>-9.621421511466233</v>
      </c>
      <c r="AR17">
        <v>21.65013422694944</v>
      </c>
      <c r="AS17">
        <v>117.2638271097748</v>
      </c>
      <c r="AT17">
        <v>16750.412</v>
      </c>
      <c r="AU17">
        <v>20569.052</v>
      </c>
      <c r="AV17">
        <v>-7211.291999999999</v>
      </c>
      <c r="AW17">
        <v>-4353.458000000001</v>
      </c>
      <c r="AX17">
        <v>9004.302</v>
      </c>
      <c r="AY17">
        <v>7204.469999999999</v>
      </c>
      <c r="AZ17">
        <v>14051.69962832746</v>
      </c>
      <c r="BA17">
        <v>-479.918</v>
      </c>
      <c r="BB17">
        <v>0</v>
      </c>
      <c r="BC17">
        <v>49.019</v>
      </c>
      <c r="BD17">
        <v>0</v>
      </c>
      <c r="BE17">
        <v>145.103</v>
      </c>
      <c r="BF17">
        <v>511.135</v>
      </c>
      <c r="BG17">
        <v>0</v>
      </c>
      <c r="BH17">
        <v>8268.222</v>
      </c>
      <c r="BI17">
        <v>-4351.857</v>
      </c>
      <c r="BJ17">
        <v>0</v>
      </c>
      <c r="BK17">
        <v>451296.561</v>
      </c>
      <c r="BL17">
        <v>493158.37</v>
      </c>
      <c r="BM17">
        <v>489904.341</v>
      </c>
      <c r="BN17">
        <v>399777000000</v>
      </c>
      <c r="BO17">
        <v>73107000000</v>
      </c>
      <c r="BP17">
        <v>16.79411410562162</v>
      </c>
      <c r="BQ17">
        <v>41861.809</v>
      </c>
      <c r="BR17">
        <v>18.78826941905724</v>
      </c>
      <c r="BS17">
        <v>3.357928891820638</v>
      </c>
      <c r="BT17">
        <v>14.11733483727645</v>
      </c>
      <c r="BU17">
        <v>8.488512321102853</v>
      </c>
      <c r="BV17">
        <v>14051.69962832746</v>
      </c>
      <c r="BW17">
        <v>1359.007</v>
      </c>
      <c r="BX17">
        <v>1765.459</v>
      </c>
      <c r="BY17">
        <v>7204.469999999999</v>
      </c>
      <c r="BZ17">
        <v>16.79411410562162</v>
      </c>
      <c r="CA17">
        <v>21.65013422694944</v>
      </c>
      <c r="CB17">
        <v>0</v>
      </c>
      <c r="CC17">
        <v>0</v>
      </c>
      <c r="CD17">
        <v>0</v>
      </c>
      <c r="CE17">
        <v>0</v>
      </c>
      <c r="CF17">
        <v>0</v>
      </c>
      <c r="CG17">
        <v>0</v>
      </c>
      <c r="CH17">
        <v>0</v>
      </c>
      <c r="CI17">
        <v>0</v>
      </c>
    </row>
    <row r="18" spans="1:87">
      <c r="A18" t="s">
        <v>438</v>
      </c>
      <c r="B18" t="s">
        <v>8</v>
      </c>
      <c r="C18" t="s">
        <v>764</v>
      </c>
      <c r="D18">
        <v>3737.109</v>
      </c>
      <c r="E18">
        <v>377.73</v>
      </c>
      <c r="F18">
        <v>4601.155</v>
      </c>
      <c r="G18">
        <v>-1759.035</v>
      </c>
      <c r="H18">
        <v>2842.12</v>
      </c>
      <c r="I18">
        <v>-421.332</v>
      </c>
      <c r="J18">
        <v>2420.788</v>
      </c>
      <c r="K18">
        <v>1936.464</v>
      </c>
      <c r="L18">
        <v>1936.464</v>
      </c>
      <c r="M18">
        <v>650</v>
      </c>
      <c r="N18">
        <v>334158.207</v>
      </c>
      <c r="O18">
        <v>-4894.133</v>
      </c>
      <c r="P18">
        <v>282298.036</v>
      </c>
      <c r="Q18">
        <v>25800</v>
      </c>
      <c r="R18">
        <v>495727.377</v>
      </c>
      <c r="S18">
        <v>43643.267</v>
      </c>
      <c r="T18">
        <v>29791.278</v>
      </c>
      <c r="U18">
        <v>334158207000000</v>
      </c>
      <c r="V18">
        <v>310436388000000</v>
      </c>
      <c r="W18">
        <v>11046672000000</v>
      </c>
      <c r="X18">
        <v>2905926000000</v>
      </c>
      <c r="Y18">
        <v>2986441000000</v>
      </c>
      <c r="Z18">
        <v>6782780000000</v>
      </c>
      <c r="AA18">
        <v>282298036000000</v>
      </c>
      <c r="AB18">
        <v>42205753000000</v>
      </c>
      <c r="AC18">
        <v>0</v>
      </c>
      <c r="AD18">
        <v>0</v>
      </c>
      <c r="AE18">
        <v>0</v>
      </c>
      <c r="AF18">
        <v>0</v>
      </c>
      <c r="AG18">
        <v>3.79315747286135</v>
      </c>
      <c r="AH18">
        <v>3.305820946064628</v>
      </c>
      <c r="AI18">
        <v>14.95077812018501</v>
      </c>
      <c r="AJ18">
        <v>0</v>
      </c>
      <c r="AK18">
        <v>38.61204134358363</v>
      </c>
      <c r="AL18">
        <v>38.23029217663826</v>
      </c>
      <c r="AM18">
        <v>0.5121270571801798</v>
      </c>
      <c r="AN18">
        <v>18.1178857732376</v>
      </c>
      <c r="AO18">
        <v>1.566582595309668</v>
      </c>
      <c r="AP18">
        <v>-3.232102853219387</v>
      </c>
      <c r="AQ18">
        <v>-14.24310098182704</v>
      </c>
      <c r="AR18">
        <v>3.132157337517838</v>
      </c>
      <c r="AS18">
        <v>118.3707161887587</v>
      </c>
      <c r="AT18">
        <v>16129.727</v>
      </c>
      <c r="AU18">
        <v>19851.697</v>
      </c>
      <c r="AV18">
        <v>-7099.235000000001</v>
      </c>
      <c r="AW18">
        <v>-3829.302</v>
      </c>
      <c r="AX18">
        <v>8923.16</v>
      </c>
      <c r="AY18">
        <v>7139.790999999999</v>
      </c>
      <c r="AZ18">
        <v>14649.67934574676</v>
      </c>
      <c r="BA18">
        <v>-484.324</v>
      </c>
      <c r="BB18">
        <v>0</v>
      </c>
      <c r="BC18">
        <v>114.213</v>
      </c>
      <c r="BD18">
        <v>0</v>
      </c>
      <c r="BE18">
        <v>29.11</v>
      </c>
      <c r="BF18">
        <v>342.993</v>
      </c>
      <c r="BG18">
        <v>0</v>
      </c>
      <c r="BH18">
        <v>8394.558000000001</v>
      </c>
      <c r="BI18">
        <v>-4657.449</v>
      </c>
      <c r="BJ18">
        <v>0</v>
      </c>
      <c r="BK18">
        <v>452084.11</v>
      </c>
      <c r="BL18">
        <v>495727.377</v>
      </c>
      <c r="BM18">
        <v>491634.907</v>
      </c>
      <c r="BN18">
        <v>387588000000</v>
      </c>
      <c r="BO18">
        <v>119393000000</v>
      </c>
      <c r="BP18">
        <v>2.167764603195721</v>
      </c>
      <c r="BQ18">
        <v>43643.267</v>
      </c>
      <c r="BR18">
        <v>18.1178857732376</v>
      </c>
      <c r="BS18">
        <v>3.045917120575498</v>
      </c>
      <c r="BT18">
        <v>15.13036881347627</v>
      </c>
      <c r="BU18">
        <v>8.803884761038727</v>
      </c>
      <c r="BV18">
        <v>14649.67934574676</v>
      </c>
      <c r="BW18">
        <v>864.0459999999998</v>
      </c>
      <c r="BX18">
        <v>1711.395</v>
      </c>
      <c r="BY18">
        <v>7139.790999999999</v>
      </c>
      <c r="BZ18">
        <v>20.53160794971731</v>
      </c>
      <c r="CA18">
        <v>24.82161695789807</v>
      </c>
      <c r="CB18">
        <v>0</v>
      </c>
      <c r="CC18">
        <v>0</v>
      </c>
      <c r="CD18">
        <v>0</v>
      </c>
      <c r="CE18">
        <v>0</v>
      </c>
      <c r="CF18">
        <v>0</v>
      </c>
      <c r="CG18">
        <v>0</v>
      </c>
      <c r="CH18">
        <v>0</v>
      </c>
      <c r="CI18">
        <v>0</v>
      </c>
    </row>
    <row r="19" spans="1:87">
      <c r="A19" t="s">
        <v>301</v>
      </c>
      <c r="B19" t="s">
        <v>8</v>
      </c>
      <c r="C19" t="s">
        <v>765</v>
      </c>
      <c r="D19">
        <v>3968.694</v>
      </c>
      <c r="E19">
        <v>401.038</v>
      </c>
      <c r="F19">
        <v>5116.818</v>
      </c>
      <c r="G19">
        <v>-1885.615</v>
      </c>
      <c r="H19">
        <v>3231.203</v>
      </c>
      <c r="I19">
        <v>-635.6369999999999</v>
      </c>
      <c r="J19">
        <v>2595.566</v>
      </c>
      <c r="K19">
        <v>2076.469</v>
      </c>
      <c r="L19">
        <v>2076.469</v>
      </c>
      <c r="M19">
        <v>697</v>
      </c>
      <c r="N19">
        <v>356066.14</v>
      </c>
      <c r="O19">
        <v>-4706.029</v>
      </c>
      <c r="P19">
        <v>304392.951</v>
      </c>
      <c r="Q19">
        <v>29200</v>
      </c>
      <c r="R19">
        <v>530909.024</v>
      </c>
      <c r="S19">
        <v>43627.741</v>
      </c>
      <c r="T19">
        <v>29791.278</v>
      </c>
      <c r="U19">
        <v>356066140000000</v>
      </c>
      <c r="V19">
        <v>333057926000000</v>
      </c>
      <c r="W19">
        <v>10343028000000</v>
      </c>
      <c r="X19">
        <v>2567119000000</v>
      </c>
      <c r="Y19">
        <v>3502490000000</v>
      </c>
      <c r="Z19">
        <v>6595577000000</v>
      </c>
      <c r="AA19">
        <v>304392951000000</v>
      </c>
      <c r="AB19">
        <v>50571894000000</v>
      </c>
      <c r="AC19">
        <v>0</v>
      </c>
      <c r="AD19">
        <v>0</v>
      </c>
      <c r="AE19">
        <v>0</v>
      </c>
      <c r="AF19">
        <v>0</v>
      </c>
      <c r="AG19">
        <v>3.556975678732047</v>
      </c>
      <c r="AH19">
        <v>2.904805270166941</v>
      </c>
      <c r="AI19">
        <v>16.6140161373185</v>
      </c>
      <c r="AJ19">
        <v>0</v>
      </c>
      <c r="AK19">
        <v>37.15720400790008</v>
      </c>
      <c r="AL19">
        <v>36.8513204886318</v>
      </c>
      <c r="AM19">
        <v>0.7367308936727495</v>
      </c>
      <c r="AN19">
        <v>19.03467414974742</v>
      </c>
      <c r="AO19">
        <v>1.618075492337818</v>
      </c>
      <c r="AP19">
        <v>23.38181135402939</v>
      </c>
      <c r="AQ19">
        <v>-8.066389107216187</v>
      </c>
      <c r="AR19">
        <v>9.893662354498623</v>
      </c>
      <c r="AS19">
        <v>116.9758165654762</v>
      </c>
      <c r="AT19">
        <v>15781.508</v>
      </c>
      <c r="AU19">
        <v>19929.325</v>
      </c>
      <c r="AV19">
        <v>-7178.66</v>
      </c>
      <c r="AW19">
        <v>-3335.054</v>
      </c>
      <c r="AX19">
        <v>9415.611000000001</v>
      </c>
      <c r="AY19">
        <v>7533.298000000001</v>
      </c>
      <c r="AZ19">
        <v>14644.46775328</v>
      </c>
      <c r="BA19">
        <v>-519.097</v>
      </c>
      <c r="BB19">
        <v>0</v>
      </c>
      <c r="BC19">
        <v>108.287</v>
      </c>
      <c r="BD19">
        <v>0</v>
      </c>
      <c r="BE19">
        <v>121.371</v>
      </c>
      <c r="BF19">
        <v>517.328</v>
      </c>
      <c r="BG19">
        <v>0.1</v>
      </c>
      <c r="BH19">
        <v>8700.028</v>
      </c>
      <c r="BI19">
        <v>-4731.334</v>
      </c>
      <c r="BJ19">
        <v>0</v>
      </c>
      <c r="BK19">
        <v>487281.283</v>
      </c>
      <c r="BL19">
        <v>530909.024</v>
      </c>
      <c r="BM19">
        <v>526474.466</v>
      </c>
      <c r="BN19">
        <v>353097000000</v>
      </c>
      <c r="BO19">
        <v>207227000000</v>
      </c>
      <c r="BP19">
        <v>10.16423566134936</v>
      </c>
      <c r="BQ19">
        <v>43627.741</v>
      </c>
      <c r="BR19">
        <v>19.03467414974742</v>
      </c>
      <c r="BS19">
        <v>3.118481456117584</v>
      </c>
      <c r="BT19">
        <v>16.79809530149074</v>
      </c>
      <c r="BU19">
        <v>8.21755499111652</v>
      </c>
      <c r="BV19">
        <v>14644.46775328</v>
      </c>
      <c r="BW19">
        <v>1148.124</v>
      </c>
      <c r="BX19">
        <v>1742.097</v>
      </c>
      <c r="BY19">
        <v>7533.298000000001</v>
      </c>
      <c r="BZ19">
        <v>22.92259675589255</v>
      </c>
      <c r="CA19">
        <v>27.66526814190113</v>
      </c>
      <c r="CB19">
        <v>0</v>
      </c>
      <c r="CC19">
        <v>-9.094947017729282E-13</v>
      </c>
      <c r="CD19">
        <v>0</v>
      </c>
      <c r="CE19">
        <v>0</v>
      </c>
      <c r="CF19">
        <v>-4.547473508864641E-13</v>
      </c>
      <c r="CG19">
        <v>0</v>
      </c>
      <c r="CH19">
        <v>0</v>
      </c>
      <c r="CI19">
        <v>0</v>
      </c>
    </row>
    <row r="20" spans="1:87">
      <c r="A20" t="s">
        <v>439</v>
      </c>
      <c r="B20" t="s">
        <v>8</v>
      </c>
      <c r="C20" t="s">
        <v>766</v>
      </c>
      <c r="D20">
        <v>4172.726</v>
      </c>
      <c r="E20">
        <v>493.53</v>
      </c>
      <c r="F20">
        <v>5007.032</v>
      </c>
      <c r="G20">
        <v>-1819.16</v>
      </c>
      <c r="H20">
        <v>3187.872</v>
      </c>
      <c r="I20">
        <v>-1157.888</v>
      </c>
      <c r="J20">
        <v>2029.984</v>
      </c>
      <c r="K20">
        <v>1624.513</v>
      </c>
      <c r="L20">
        <v>1624.513</v>
      </c>
      <c r="M20">
        <v>309</v>
      </c>
      <c r="N20">
        <v>372736.056</v>
      </c>
      <c r="O20">
        <v>-4872.631</v>
      </c>
      <c r="P20">
        <v>307929.159</v>
      </c>
      <c r="Q20">
        <v>27145</v>
      </c>
      <c r="R20">
        <v>543559.67</v>
      </c>
      <c r="S20">
        <v>45259.765</v>
      </c>
      <c r="T20">
        <v>34040.057</v>
      </c>
      <c r="U20">
        <v>372736056000000</v>
      </c>
      <c r="V20">
        <v>350150652000000</v>
      </c>
      <c r="W20">
        <v>10204139000000</v>
      </c>
      <c r="X20">
        <v>2428193000000</v>
      </c>
      <c r="Y20">
        <v>3480430000000</v>
      </c>
      <c r="Z20">
        <v>6472642000000</v>
      </c>
      <c r="AA20">
        <v>307929159000000</v>
      </c>
      <c r="AB20">
        <v>47049813000000</v>
      </c>
      <c r="AC20">
        <v>0</v>
      </c>
      <c r="AD20">
        <v>0</v>
      </c>
      <c r="AE20">
        <v>0</v>
      </c>
      <c r="AF20">
        <v>0</v>
      </c>
      <c r="AG20">
        <v>3.321724528844615</v>
      </c>
      <c r="AH20">
        <v>2.737631317320157</v>
      </c>
      <c r="AI20">
        <v>15.27942762965166</v>
      </c>
      <c r="AJ20">
        <v>0</v>
      </c>
      <c r="AK20">
        <v>39.35487205871129</v>
      </c>
      <c r="AL20">
        <v>36.3321025310004</v>
      </c>
      <c r="AM20">
        <v>1.271003854110231</v>
      </c>
      <c r="AN20">
        <v>14.62084446378775</v>
      </c>
      <c r="AO20">
        <v>1.209537706642572</v>
      </c>
      <c r="AP20">
        <v>1.584569024114324</v>
      </c>
      <c r="AQ20">
        <v>0.3218299057061724</v>
      </c>
      <c r="AR20">
        <v>15.03854392167558</v>
      </c>
      <c r="AS20">
        <v>121.0460409824326</v>
      </c>
      <c r="AT20">
        <v>15794.894</v>
      </c>
      <c r="AU20">
        <v>20000.377</v>
      </c>
      <c r="AV20">
        <v>-7215.556</v>
      </c>
      <c r="AW20">
        <v>-3337.373</v>
      </c>
      <c r="AX20">
        <v>9447.448</v>
      </c>
      <c r="AY20">
        <v>7558.637999999999</v>
      </c>
      <c r="AZ20">
        <v>13296.03090852639</v>
      </c>
      <c r="BA20">
        <v>-405.471</v>
      </c>
      <c r="BB20">
        <v>0</v>
      </c>
      <c r="BC20">
        <v>-98.592</v>
      </c>
      <c r="BD20">
        <v>0</v>
      </c>
      <c r="BE20">
        <v>5.914</v>
      </c>
      <c r="BF20">
        <v>430.809</v>
      </c>
      <c r="BG20">
        <v>2.645</v>
      </c>
      <c r="BH20">
        <v>9286.721</v>
      </c>
      <c r="BI20">
        <v>-5113.995</v>
      </c>
      <c r="BJ20">
        <v>0</v>
      </c>
      <c r="BK20">
        <v>498299.905</v>
      </c>
      <c r="BL20">
        <v>543559.67</v>
      </c>
      <c r="BM20">
        <v>538637.8590000001</v>
      </c>
      <c r="BN20">
        <v>375040000000</v>
      </c>
      <c r="BO20">
        <v>131034000000</v>
      </c>
      <c r="BP20">
        <v>11.44404076255077</v>
      </c>
      <c r="BQ20">
        <v>45259.765</v>
      </c>
      <c r="BR20">
        <v>14.62084446378775</v>
      </c>
      <c r="BS20">
        <v>3.134111512605019</v>
      </c>
      <c r="BT20">
        <v>15.44377517037937</v>
      </c>
      <c r="BU20">
        <v>8.326549502835631</v>
      </c>
      <c r="BV20">
        <v>13296.03090852639</v>
      </c>
      <c r="BW20">
        <v>834.3060000000005</v>
      </c>
      <c r="BX20">
        <v>1926.048</v>
      </c>
      <c r="BY20">
        <v>7558.637999999999</v>
      </c>
      <c r="BZ20">
        <v>20.45768309800715</v>
      </c>
      <c r="CA20">
        <v>25.26849622243128</v>
      </c>
      <c r="CB20">
        <v>0</v>
      </c>
      <c r="CC20">
        <v>0</v>
      </c>
      <c r="CD20">
        <v>0</v>
      </c>
      <c r="CE20">
        <v>0</v>
      </c>
      <c r="CF20">
        <v>-4.547473508864641E-13</v>
      </c>
      <c r="CG20">
        <v>0</v>
      </c>
      <c r="CH20">
        <v>0</v>
      </c>
      <c r="CI20">
        <v>0</v>
      </c>
    </row>
    <row r="21" spans="1:87">
      <c r="A21" t="s">
        <v>440</v>
      </c>
      <c r="B21" t="s">
        <v>8</v>
      </c>
      <c r="C21" t="s">
        <v>767</v>
      </c>
      <c r="D21">
        <v>4213.631</v>
      </c>
      <c r="E21">
        <v>833.043</v>
      </c>
      <c r="F21">
        <v>5281.636</v>
      </c>
      <c r="G21">
        <v>-1971.196</v>
      </c>
      <c r="H21">
        <v>3310.44</v>
      </c>
      <c r="I21">
        <v>-1252.162</v>
      </c>
      <c r="J21">
        <v>2058.278</v>
      </c>
      <c r="K21">
        <v>1647.984</v>
      </c>
      <c r="L21">
        <v>1647.984</v>
      </c>
      <c r="M21">
        <v>484</v>
      </c>
      <c r="N21">
        <v>381972.016</v>
      </c>
      <c r="O21">
        <v>-4858.821</v>
      </c>
      <c r="P21">
        <v>294577.661</v>
      </c>
      <c r="Q21">
        <v>35070.7</v>
      </c>
      <c r="R21">
        <v>556098.441</v>
      </c>
      <c r="S21">
        <v>46904.739</v>
      </c>
      <c r="T21">
        <v>34040.057</v>
      </c>
      <c r="U21">
        <v>381972016000000</v>
      </c>
      <c r="V21">
        <v>361491090000000</v>
      </c>
      <c r="W21">
        <v>9146241000000</v>
      </c>
      <c r="X21">
        <v>2149202000000</v>
      </c>
      <c r="Y21">
        <v>2824185000000</v>
      </c>
      <c r="Z21">
        <v>6361298000000</v>
      </c>
      <c r="AA21">
        <v>294577661000000</v>
      </c>
      <c r="AB21">
        <v>42377916000000</v>
      </c>
      <c r="AC21">
        <v>0</v>
      </c>
      <c r="AD21">
        <v>0</v>
      </c>
      <c r="AE21">
        <v>0</v>
      </c>
      <c r="AF21">
        <v>0</v>
      </c>
      <c r="AG21">
        <v>2.967412408557176</v>
      </c>
      <c r="AH21">
        <v>2.394479337983754</v>
      </c>
      <c r="AI21">
        <v>14.38599106807356</v>
      </c>
      <c r="AJ21">
        <v>0</v>
      </c>
      <c r="AK21">
        <v>42.86683749923355</v>
      </c>
      <c r="AL21">
        <v>37.32169350557289</v>
      </c>
      <c r="AM21">
        <v>1.327307388332796</v>
      </c>
      <c r="AN21">
        <v>14.30471757326443</v>
      </c>
      <c r="AO21">
        <v>1.198906448115127</v>
      </c>
      <c r="AP21">
        <v>-14.22075461484329</v>
      </c>
      <c r="AQ21">
        <v>7.590354831584922</v>
      </c>
      <c r="AR21">
        <v>17.88906340594796</v>
      </c>
      <c r="AS21">
        <v>129.6676790437276</v>
      </c>
      <c r="AT21">
        <v>16092.16</v>
      </c>
      <c r="AU21">
        <v>20006.641</v>
      </c>
      <c r="AV21">
        <v>-7435.005999999999</v>
      </c>
      <c r="AW21">
        <v>-3467.019</v>
      </c>
      <c r="AX21">
        <v>9104.616</v>
      </c>
      <c r="AY21">
        <v>7285.43</v>
      </c>
      <c r="AZ21">
        <v>13779.27745538146</v>
      </c>
      <c r="BA21">
        <v>-410.294</v>
      </c>
      <c r="BB21">
        <v>0</v>
      </c>
      <c r="BC21">
        <v>-278.2</v>
      </c>
      <c r="BD21">
        <v>0</v>
      </c>
      <c r="BE21">
        <v>-76.621</v>
      </c>
      <c r="BF21">
        <v>589.783</v>
      </c>
      <c r="BG21">
        <v>0</v>
      </c>
      <c r="BH21">
        <v>9942.701999999999</v>
      </c>
      <c r="BI21">
        <v>-5729.071</v>
      </c>
      <c r="BJ21">
        <v>0</v>
      </c>
      <c r="BK21">
        <v>509193.702</v>
      </c>
      <c r="BL21">
        <v>556098.441</v>
      </c>
      <c r="BM21">
        <v>546535.101</v>
      </c>
      <c r="BN21">
        <v>462664000000</v>
      </c>
      <c r="BO21">
        <v>124984000000</v>
      </c>
      <c r="BP21">
        <v>6.611939469561112</v>
      </c>
      <c r="BQ21">
        <v>46904.739</v>
      </c>
      <c r="BR21">
        <v>14.30471757326443</v>
      </c>
      <c r="BS21">
        <v>3.106329520042594</v>
      </c>
      <c r="BT21">
        <v>14.58547937889968</v>
      </c>
      <c r="BU21">
        <v>8.43461077064951</v>
      </c>
      <c r="BV21">
        <v>13779.27745538146</v>
      </c>
      <c r="BW21">
        <v>1068.005</v>
      </c>
      <c r="BX21">
        <v>2105.341</v>
      </c>
      <c r="BY21">
        <v>7285.43</v>
      </c>
      <c r="BZ21">
        <v>6.611939469561112</v>
      </c>
      <c r="CA21">
        <v>17.88906340594796</v>
      </c>
      <c r="CB21">
        <v>0</v>
      </c>
      <c r="CC21">
        <v>0</v>
      </c>
      <c r="CD21">
        <v>-4.547473508864641E-13</v>
      </c>
      <c r="CE21">
        <v>0</v>
      </c>
      <c r="CF21">
        <v>-4.547473508864641E-13</v>
      </c>
      <c r="CG21">
        <v>0</v>
      </c>
      <c r="CH21">
        <v>0</v>
      </c>
      <c r="CI21">
        <v>0</v>
      </c>
    </row>
    <row r="22" spans="1:87">
      <c r="A22" t="s">
        <v>441</v>
      </c>
      <c r="B22" t="s">
        <v>8</v>
      </c>
      <c r="C22" t="s">
        <v>768</v>
      </c>
      <c r="D22">
        <v>4038.566</v>
      </c>
      <c r="E22">
        <v>1989.48</v>
      </c>
      <c r="F22">
        <v>5860.336</v>
      </c>
      <c r="G22">
        <v>-1852.742</v>
      </c>
      <c r="H22">
        <v>4007.594</v>
      </c>
      <c r="I22">
        <v>-1204.926</v>
      </c>
      <c r="J22">
        <v>2802.668</v>
      </c>
      <c r="K22">
        <v>2241.191</v>
      </c>
      <c r="L22">
        <v>2241.191</v>
      </c>
      <c r="M22">
        <v>658</v>
      </c>
      <c r="N22">
        <v>386257.317</v>
      </c>
      <c r="O22">
        <v>-4895.323</v>
      </c>
      <c r="P22">
        <v>316373.838</v>
      </c>
      <c r="Q22">
        <v>34770.7</v>
      </c>
      <c r="R22">
        <v>564145.938</v>
      </c>
      <c r="S22">
        <v>49144.071</v>
      </c>
      <c r="T22">
        <v>34040.057</v>
      </c>
      <c r="U22">
        <v>386257317000000</v>
      </c>
      <c r="V22">
        <v>365055124000000</v>
      </c>
      <c r="W22">
        <v>9844953000000</v>
      </c>
      <c r="X22">
        <v>2311836000000</v>
      </c>
      <c r="Y22">
        <v>2931977000000</v>
      </c>
      <c r="Z22">
        <v>6113427000000</v>
      </c>
      <c r="AA22">
        <v>316373838000000</v>
      </c>
      <c r="AB22">
        <v>44063845000000</v>
      </c>
      <c r="AC22">
        <v>0</v>
      </c>
      <c r="AD22">
        <v>0</v>
      </c>
      <c r="AE22">
        <v>0</v>
      </c>
      <c r="AF22">
        <v>0</v>
      </c>
      <c r="AG22">
        <v>2.940330059818646</v>
      </c>
      <c r="AH22">
        <v>2.54880686182574</v>
      </c>
      <c r="AI22">
        <v>13.92777774501064</v>
      </c>
      <c r="AJ22">
        <v>0</v>
      </c>
      <c r="AK22">
        <v>43.1031042753345</v>
      </c>
      <c r="AL22">
        <v>31.61494494513625</v>
      </c>
      <c r="AM22">
        <v>1.254756566292165</v>
      </c>
      <c r="AN22">
        <v>18.6671006126989</v>
      </c>
      <c r="AO22">
        <v>1.600501492005255</v>
      </c>
      <c r="AP22">
        <v>15.73625949152682</v>
      </c>
      <c r="AQ22">
        <v>8.066583019119866</v>
      </c>
      <c r="AR22">
        <v>1.121888730194298</v>
      </c>
      <c r="AS22">
        <v>122.0888931403993</v>
      </c>
      <c r="AT22">
        <v>16393.617</v>
      </c>
      <c r="AU22">
        <v>21265.822</v>
      </c>
      <c r="AV22">
        <v>-7528.713</v>
      </c>
      <c r="AW22">
        <v>-4250.613</v>
      </c>
      <c r="AX22">
        <v>9486.495999999999</v>
      </c>
      <c r="AY22">
        <v>7590.157</v>
      </c>
      <c r="AZ22">
        <v>14437.12946779143</v>
      </c>
      <c r="BA22">
        <v>-561.477</v>
      </c>
      <c r="BB22">
        <v>0</v>
      </c>
      <c r="BC22">
        <v>-355.733</v>
      </c>
      <c r="BD22">
        <v>0</v>
      </c>
      <c r="BE22">
        <v>-130.505</v>
      </c>
      <c r="BF22">
        <v>318.528</v>
      </c>
      <c r="BG22">
        <v>0</v>
      </c>
      <c r="BH22">
        <v>10384.874</v>
      </c>
      <c r="BI22">
        <v>-6346.308</v>
      </c>
      <c r="BJ22">
        <v>0</v>
      </c>
      <c r="BK22">
        <v>515001.867</v>
      </c>
      <c r="BL22">
        <v>564145.938</v>
      </c>
      <c r="BM22">
        <v>553795.691</v>
      </c>
      <c r="BN22">
        <v>674153000000</v>
      </c>
      <c r="BO22">
        <v>72750000000</v>
      </c>
      <c r="BP22">
        <v>7.399127593724764</v>
      </c>
      <c r="BQ22">
        <v>49144.071</v>
      </c>
      <c r="BR22">
        <v>18.6671006126989</v>
      </c>
      <c r="BS22">
        <v>2.936255918211184</v>
      </c>
      <c r="BT22">
        <v>14.16386016090243</v>
      </c>
      <c r="BU22">
        <v>8.711233687904354</v>
      </c>
      <c r="BV22">
        <v>14437.12946779143</v>
      </c>
      <c r="BW22">
        <v>1821.77</v>
      </c>
      <c r="BX22">
        <v>3717.091</v>
      </c>
      <c r="BY22">
        <v>7590.157</v>
      </c>
      <c r="BZ22">
        <v>12.07086045756265</v>
      </c>
      <c r="CA22">
        <v>15.59115081078946</v>
      </c>
      <c r="CB22">
        <v>-1.164153218269348E-10</v>
      </c>
      <c r="CC22">
        <v>0</v>
      </c>
      <c r="CD22">
        <v>0</v>
      </c>
      <c r="CE22">
        <v>-4.547473508864641E-13</v>
      </c>
      <c r="CF22">
        <v>0</v>
      </c>
      <c r="CG22">
        <v>0</v>
      </c>
      <c r="CH22">
        <v>0</v>
      </c>
      <c r="CI22">
        <v>0</v>
      </c>
    </row>
    <row r="23" spans="1:87">
      <c r="A23" t="s">
        <v>298</v>
      </c>
      <c r="B23" t="s">
        <v>8</v>
      </c>
      <c r="C23" t="s">
        <v>646</v>
      </c>
      <c r="D23">
        <v>4367.969</v>
      </c>
      <c r="E23">
        <v>1074.981</v>
      </c>
      <c r="F23">
        <v>5367.74</v>
      </c>
      <c r="G23">
        <v>-1703.809</v>
      </c>
      <c r="H23">
        <v>3663.931</v>
      </c>
      <c r="I23">
        <v>-1280.891</v>
      </c>
      <c r="J23">
        <v>2383.04</v>
      </c>
      <c r="K23">
        <v>1905.424</v>
      </c>
      <c r="L23">
        <v>1905.424</v>
      </c>
      <c r="M23">
        <v>560</v>
      </c>
      <c r="N23">
        <v>397083.447</v>
      </c>
      <c r="O23">
        <v>-5063.014</v>
      </c>
      <c r="P23">
        <v>317451.548</v>
      </c>
      <c r="Q23">
        <v>37970.7</v>
      </c>
      <c r="R23">
        <v>580998.048</v>
      </c>
      <c r="S23">
        <v>47837.834</v>
      </c>
      <c r="T23">
        <v>34040.057</v>
      </c>
      <c r="U23">
        <v>397083447000000</v>
      </c>
      <c r="V23">
        <v>375282104000000</v>
      </c>
      <c r="W23">
        <v>10184436000000</v>
      </c>
      <c r="X23">
        <v>2726693000000</v>
      </c>
      <c r="Y23">
        <v>3148157000000</v>
      </c>
      <c r="Z23">
        <v>5742057000000</v>
      </c>
      <c r="AA23">
        <v>317451548000000</v>
      </c>
      <c r="AB23">
        <v>37334817000000</v>
      </c>
      <c r="AC23">
        <v>0</v>
      </c>
      <c r="AD23">
        <v>0</v>
      </c>
      <c r="AE23">
        <v>0</v>
      </c>
      <c r="AF23">
        <v>0</v>
      </c>
      <c r="AG23">
        <v>2.925558113229535</v>
      </c>
      <c r="AH23">
        <v>2.564810010828781</v>
      </c>
      <c r="AI23">
        <v>11.76079223277248</v>
      </c>
      <c r="AJ23">
        <v>0</v>
      </c>
      <c r="AK23">
        <v>43.58314997270789</v>
      </c>
      <c r="AL23">
        <v>31.74164545972793</v>
      </c>
      <c r="AM23">
        <v>1.308131591119392</v>
      </c>
      <c r="AN23">
        <v>15.71776920653394</v>
      </c>
      <c r="AO23">
        <v>1.331133218735692</v>
      </c>
      <c r="AP23">
        <v>-8.237300918048863</v>
      </c>
      <c r="AQ23">
        <v>10.06061439859056</v>
      </c>
      <c r="AR23">
        <v>3.956161804272074</v>
      </c>
      <c r="AS23">
        <v>125.0847411208718</v>
      </c>
      <c r="AT23">
        <v>16792.892</v>
      </c>
      <c r="AU23">
        <v>21516.744</v>
      </c>
      <c r="AV23">
        <v>-7346.907</v>
      </c>
      <c r="AW23">
        <v>-4895.867</v>
      </c>
      <c r="AX23">
        <v>9273.969999999999</v>
      </c>
      <c r="AY23">
        <v>7419.112</v>
      </c>
      <c r="AZ23">
        <v>14053.39421141392</v>
      </c>
      <c r="BA23">
        <v>-477.616</v>
      </c>
      <c r="BB23">
        <v>0</v>
      </c>
      <c r="BC23">
        <v>-423.143</v>
      </c>
      <c r="BD23">
        <v>0</v>
      </c>
      <c r="BE23">
        <v>-48.58</v>
      </c>
      <c r="BF23">
        <v>396.313</v>
      </c>
      <c r="BG23">
        <v>0.2</v>
      </c>
      <c r="BH23">
        <v>11598.484</v>
      </c>
      <c r="BI23">
        <v>-7230.515</v>
      </c>
      <c r="BJ23">
        <v>0</v>
      </c>
      <c r="BK23">
        <v>533160.214</v>
      </c>
      <c r="BL23">
        <v>580998.048</v>
      </c>
      <c r="BM23">
        <v>569994.973</v>
      </c>
      <c r="BN23">
        <v>415306000000</v>
      </c>
      <c r="BO23">
        <v>111483000000</v>
      </c>
      <c r="BP23">
        <v>7.764976788243283</v>
      </c>
      <c r="BQ23">
        <v>47837.834</v>
      </c>
      <c r="BR23">
        <v>15.71776920653394</v>
      </c>
      <c r="BS23">
        <v>3.109453843976764</v>
      </c>
      <c r="BT23">
        <v>11.92673535175201</v>
      </c>
      <c r="BU23">
        <v>8.233734031409345</v>
      </c>
      <c r="BV23">
        <v>14053.39421141392</v>
      </c>
      <c r="BW23">
        <v>999.7709999999996</v>
      </c>
      <c r="BX23">
        <v>4391.034</v>
      </c>
      <c r="BY23">
        <v>7419.112</v>
      </c>
      <c r="BZ23">
        <v>4.290045796756981</v>
      </c>
      <c r="CA23">
        <v>11.51957526767358</v>
      </c>
      <c r="CB23">
        <v>-1.164153218269348E-10</v>
      </c>
      <c r="CC23">
        <v>0</v>
      </c>
      <c r="CD23">
        <v>0</v>
      </c>
      <c r="CE23">
        <v>0</v>
      </c>
      <c r="CF23">
        <v>4.547473508864641E-13</v>
      </c>
      <c r="CG23">
        <v>0</v>
      </c>
      <c r="CH23">
        <v>0</v>
      </c>
      <c r="CI23">
        <v>0</v>
      </c>
    </row>
    <row r="24" spans="1:87">
      <c r="A24" t="s">
        <v>734</v>
      </c>
      <c r="B24" t="s">
        <v>9</v>
      </c>
      <c r="C24" t="s">
        <v>769</v>
      </c>
      <c r="D24">
        <v>5952.036</v>
      </c>
      <c r="E24">
        <v>1065.966</v>
      </c>
      <c r="F24">
        <v>9192.864</v>
      </c>
      <c r="G24">
        <v>-2803.949</v>
      </c>
      <c r="H24">
        <v>6388.915</v>
      </c>
      <c r="I24">
        <v>-1809.057</v>
      </c>
      <c r="J24">
        <v>4579.858</v>
      </c>
      <c r="K24">
        <v>3666.332</v>
      </c>
      <c r="L24">
        <v>3552.809</v>
      </c>
      <c r="M24">
        <v>0</v>
      </c>
      <c r="N24">
        <v>324007.375</v>
      </c>
      <c r="O24">
        <v>-5329.385</v>
      </c>
      <c r="P24">
        <v>327926.697</v>
      </c>
      <c r="Q24">
        <v>50229.524</v>
      </c>
      <c r="R24">
        <v>510957.496</v>
      </c>
      <c r="S24">
        <v>53723.765</v>
      </c>
      <c r="T24">
        <v>27987.569</v>
      </c>
      <c r="U24">
        <v>324007375000000</v>
      </c>
      <c r="V24">
        <v>317181571000000</v>
      </c>
      <c r="W24">
        <v>2641999000000</v>
      </c>
      <c r="X24">
        <v>1857483000000</v>
      </c>
      <c r="Y24">
        <v>847875000000</v>
      </c>
      <c r="Z24">
        <v>1478447000000</v>
      </c>
      <c r="AA24">
        <v>327926697000000</v>
      </c>
      <c r="AB24">
        <v>111608102000000</v>
      </c>
      <c r="AC24">
        <v>0</v>
      </c>
      <c r="AD24">
        <v>0</v>
      </c>
      <c r="AE24">
        <v>0</v>
      </c>
      <c r="AF24">
        <v>0</v>
      </c>
      <c r="AG24">
        <v>1.291268447207413</v>
      </c>
      <c r="AH24">
        <v>0.8154132294056577</v>
      </c>
      <c r="AI24">
        <v>34.03446655030957</v>
      </c>
      <c r="AJ24">
        <v>0</v>
      </c>
      <c r="AK24">
        <v>127.3812952563516</v>
      </c>
      <c r="AL24">
        <v>30.50136497178681</v>
      </c>
      <c r="AM24">
        <v>2.325623437141348</v>
      </c>
      <c r="AN24">
        <v>28.25056350571153</v>
      </c>
      <c r="AO24">
        <v>2.915747059651166</v>
      </c>
      <c r="AP24">
        <v>105.6432922383138</v>
      </c>
      <c r="AQ24">
        <v>26.76823256718388</v>
      </c>
      <c r="AR24">
        <v>8.619058678176428</v>
      </c>
      <c r="AS24">
        <v>98.8048176510618</v>
      </c>
      <c r="AT24">
        <v>21534.62</v>
      </c>
      <c r="AU24">
        <v>30216.255</v>
      </c>
      <c r="AV24">
        <v>-11308.906</v>
      </c>
      <c r="AW24">
        <v>-5834.872</v>
      </c>
      <c r="AX24">
        <v>13072.477</v>
      </c>
      <c r="AY24">
        <v>10489.511</v>
      </c>
      <c r="AZ24">
        <v>19195.58108101493</v>
      </c>
      <c r="BA24">
        <v>-913.526</v>
      </c>
      <c r="BB24">
        <v>-113.523</v>
      </c>
      <c r="BC24">
        <v>236.534</v>
      </c>
      <c r="BD24">
        <v>18.359</v>
      </c>
      <c r="BE24">
        <v>672.178</v>
      </c>
      <c r="BF24">
        <v>1216.935</v>
      </c>
      <c r="BG24">
        <v>30.856</v>
      </c>
      <c r="BH24">
        <v>9013.087</v>
      </c>
      <c r="BI24">
        <v>-3061.051</v>
      </c>
      <c r="BJ24">
        <v>2305.712</v>
      </c>
      <c r="BK24">
        <v>457233.731</v>
      </c>
      <c r="BL24">
        <v>510957.496</v>
      </c>
      <c r="BM24">
        <v>479857.474</v>
      </c>
      <c r="BN24">
        <v>6445990000000</v>
      </c>
      <c r="BO24">
        <v>2956482000000</v>
      </c>
      <c r="BP24">
        <v>5.45611129578274</v>
      </c>
      <c r="BQ24">
        <v>51418.053</v>
      </c>
      <c r="BR24">
        <v>28.6157551148202</v>
      </c>
      <c r="BS24">
        <v>5.030289520906275</v>
      </c>
      <c r="BT24">
        <v>36.90171465362578</v>
      </c>
      <c r="BU24">
        <v>10.51433150909288</v>
      </c>
      <c r="BV24">
        <v>18371.74675656896</v>
      </c>
      <c r="BW24">
        <v>3240.828</v>
      </c>
      <c r="BX24">
        <v>3896.633</v>
      </c>
      <c r="BY24">
        <v>10103.217</v>
      </c>
      <c r="BZ24">
        <v>36.21775079352633</v>
      </c>
      <c r="CA24">
        <v>30.65882592296625</v>
      </c>
      <c r="CB24">
        <v>-5.820766091346741E-11</v>
      </c>
      <c r="CC24">
        <v>0</v>
      </c>
      <c r="CD24">
        <v>0</v>
      </c>
      <c r="CE24">
        <v>-4.547473508864641E-13</v>
      </c>
      <c r="CF24">
        <v>9.094947017729282E-13</v>
      </c>
      <c r="CG24">
        <v>0</v>
      </c>
      <c r="CH24">
        <v>0</v>
      </c>
      <c r="CI24">
        <v>0</v>
      </c>
    </row>
    <row r="25" spans="1:87">
      <c r="A25" t="s">
        <v>735</v>
      </c>
      <c r="B25" t="s">
        <v>9</v>
      </c>
      <c r="C25" t="s">
        <v>770</v>
      </c>
      <c r="D25">
        <v>6562.536</v>
      </c>
      <c r="E25">
        <v>1029.589</v>
      </c>
      <c r="F25">
        <v>8924.602000000001</v>
      </c>
      <c r="G25">
        <v>-3086.784</v>
      </c>
      <c r="H25">
        <v>5837.818</v>
      </c>
      <c r="I25">
        <v>-2431.41</v>
      </c>
      <c r="J25">
        <v>3406.408</v>
      </c>
      <c r="K25">
        <v>2730.497</v>
      </c>
      <c r="L25">
        <v>2596.026</v>
      </c>
      <c r="M25">
        <v>0</v>
      </c>
      <c r="N25">
        <v>331146.972</v>
      </c>
      <c r="O25">
        <v>-5986.528</v>
      </c>
      <c r="P25">
        <v>343494.329</v>
      </c>
      <c r="Q25">
        <v>52073.753</v>
      </c>
      <c r="R25">
        <v>523334.486</v>
      </c>
      <c r="S25">
        <v>55934.771</v>
      </c>
      <c r="T25">
        <v>27987.569</v>
      </c>
      <c r="U25">
        <v>331146972000000</v>
      </c>
      <c r="V25">
        <v>326136283000000</v>
      </c>
      <c r="W25">
        <v>2479344000000</v>
      </c>
      <c r="X25">
        <v>1156386000000</v>
      </c>
      <c r="Y25">
        <v>810768000000</v>
      </c>
      <c r="Z25">
        <v>564191000000</v>
      </c>
      <c r="AA25">
        <v>343494329000000</v>
      </c>
      <c r="AB25">
        <v>119016512000000</v>
      </c>
      <c r="AC25">
        <v>0</v>
      </c>
      <c r="AD25">
        <v>0.1066</v>
      </c>
      <c r="AE25">
        <v>0</v>
      </c>
      <c r="AF25">
        <v>0</v>
      </c>
      <c r="AG25">
        <v>0.7644173777919975</v>
      </c>
      <c r="AH25">
        <v>0.748714078533081</v>
      </c>
      <c r="AI25">
        <v>34.64875602065617</v>
      </c>
      <c r="AJ25">
        <v>0.1066</v>
      </c>
      <c r="AK25">
        <v>236.4959339797618</v>
      </c>
      <c r="AL25">
        <v>34.58735750905194</v>
      </c>
      <c r="AM25">
        <v>2.968961449934484</v>
      </c>
      <c r="AN25">
        <v>19.91999601380781</v>
      </c>
      <c r="AO25">
        <v>2.11197383138952</v>
      </c>
      <c r="AP25">
        <v>14.2628479413206</v>
      </c>
      <c r="AQ25">
        <v>41.92344847974599</v>
      </c>
      <c r="AR25">
        <v>11.01251131326393</v>
      </c>
      <c r="AS25">
        <v>96.4053680199186</v>
      </c>
      <c r="AT25">
        <v>23473.159</v>
      </c>
      <c r="AU25">
        <v>32567.215</v>
      </c>
      <c r="AV25">
        <v>-11961.902</v>
      </c>
      <c r="AW25">
        <v>-7049.38</v>
      </c>
      <c r="AX25">
        <v>13555.933</v>
      </c>
      <c r="AY25">
        <v>10830.345</v>
      </c>
      <c r="AZ25">
        <v>19985.57681090487</v>
      </c>
      <c r="BA25">
        <v>-675.9109999999999</v>
      </c>
      <c r="BB25">
        <v>-134.471</v>
      </c>
      <c r="BC25">
        <v>321.897</v>
      </c>
      <c r="BD25">
        <v>19.607</v>
      </c>
      <c r="BE25">
        <v>309.425</v>
      </c>
      <c r="BF25">
        <v>643.022</v>
      </c>
      <c r="BG25">
        <v>38.526</v>
      </c>
      <c r="BH25">
        <v>9635.316000000001</v>
      </c>
      <c r="BI25">
        <v>-3072.78</v>
      </c>
      <c r="BJ25">
        <v>2634.849</v>
      </c>
      <c r="BK25">
        <v>467399.715</v>
      </c>
      <c r="BL25">
        <v>523334.486</v>
      </c>
      <c r="BM25">
        <v>492883.989</v>
      </c>
      <c r="BN25">
        <v>14460189000000</v>
      </c>
      <c r="BO25">
        <v>3220563000000</v>
      </c>
      <c r="BP25">
        <v>10.46241894875126</v>
      </c>
      <c r="BQ25">
        <v>53299.922</v>
      </c>
      <c r="BR25">
        <v>19.83251490491484</v>
      </c>
      <c r="BS25">
        <v>5.397147134870306</v>
      </c>
      <c r="BT25">
        <v>39.79607593463355</v>
      </c>
      <c r="BU25">
        <v>10.68814926138844</v>
      </c>
      <c r="BV25">
        <v>19044.14134718167</v>
      </c>
      <c r="BW25">
        <v>2362.066000000001</v>
      </c>
      <c r="BX25">
        <v>3981.31</v>
      </c>
      <c r="BY25">
        <v>10436.659</v>
      </c>
      <c r="BZ25">
        <v>33.45863434564033</v>
      </c>
      <c r="CA25">
        <v>26.68959159030207</v>
      </c>
      <c r="CB25">
        <v>-5.820766091346741E-11</v>
      </c>
      <c r="CC25">
        <v>0</v>
      </c>
      <c r="CD25">
        <v>-4.547473508864641E-13</v>
      </c>
      <c r="CE25">
        <v>0</v>
      </c>
      <c r="CF25">
        <v>-9.094947017729282E-13</v>
      </c>
      <c r="CG25">
        <v>0</v>
      </c>
      <c r="CH25">
        <v>0</v>
      </c>
      <c r="CI25">
        <v>0</v>
      </c>
    </row>
    <row r="26" spans="1:87">
      <c r="A26" t="s">
        <v>736</v>
      </c>
      <c r="B26" t="s">
        <v>9</v>
      </c>
      <c r="C26" t="s">
        <v>771</v>
      </c>
      <c r="D26">
        <v>6515.194</v>
      </c>
      <c r="E26">
        <v>926.389</v>
      </c>
      <c r="F26">
        <v>8700.177</v>
      </c>
      <c r="G26">
        <v>-3023.716</v>
      </c>
      <c r="H26">
        <v>5676.461</v>
      </c>
      <c r="I26">
        <v>-1778.158</v>
      </c>
      <c r="J26">
        <v>3898.303</v>
      </c>
      <c r="K26">
        <v>3122.213</v>
      </c>
      <c r="L26">
        <v>3022.176</v>
      </c>
      <c r="M26">
        <v>0</v>
      </c>
      <c r="N26">
        <v>336426.387</v>
      </c>
      <c r="O26">
        <v>-7418.155</v>
      </c>
      <c r="P26">
        <v>343949.438</v>
      </c>
      <c r="Q26">
        <v>54317.3</v>
      </c>
      <c r="R26">
        <v>555594.688</v>
      </c>
      <c r="S26">
        <v>58847.393</v>
      </c>
      <c r="T26">
        <v>37783.218</v>
      </c>
      <c r="U26">
        <v>336426387000000</v>
      </c>
      <c r="V26">
        <v>329530506000000</v>
      </c>
      <c r="W26">
        <v>3709439000000</v>
      </c>
      <c r="X26">
        <v>1220648000000</v>
      </c>
      <c r="Y26">
        <v>1112378000000</v>
      </c>
      <c r="Z26">
        <v>853416000000</v>
      </c>
      <c r="AA26">
        <v>343949438000000</v>
      </c>
      <c r="AB26">
        <v>124118549000000</v>
      </c>
      <c r="AC26">
        <v>0</v>
      </c>
      <c r="AD26">
        <v>0</v>
      </c>
      <c r="AE26">
        <v>0</v>
      </c>
      <c r="AF26">
        <v>0</v>
      </c>
      <c r="AG26">
        <v>0.9471438992685196</v>
      </c>
      <c r="AH26">
        <v>1.102600492511308</v>
      </c>
      <c r="AI26">
        <v>36.086277599907</v>
      </c>
      <c r="AJ26">
        <v>0</v>
      </c>
      <c r="AK26">
        <v>232.8037039431441</v>
      </c>
      <c r="AL26">
        <v>34.75464924449238</v>
      </c>
      <c r="AM26">
        <v>2.130891505513179</v>
      </c>
      <c r="AN26">
        <v>21.76096279209373</v>
      </c>
      <c r="AO26">
        <v>2.315045751093946</v>
      </c>
      <c r="AP26">
        <v>28.84089482604157</v>
      </c>
      <c r="AQ26">
        <v>26.14910864706545</v>
      </c>
      <c r="AR26">
        <v>12.78236327318134</v>
      </c>
      <c r="AS26">
        <v>97.81274508144421</v>
      </c>
      <c r="AT26">
        <v>24823.676</v>
      </c>
      <c r="AU26">
        <v>34531.954</v>
      </c>
      <c r="AV26">
        <v>-12149.297</v>
      </c>
      <c r="AW26">
        <v>-7943.861000000001</v>
      </c>
      <c r="AX26">
        <v>14438.796</v>
      </c>
      <c r="AY26">
        <v>11529.249</v>
      </c>
      <c r="AZ26">
        <v>15575.00819543746</v>
      </c>
      <c r="BA26">
        <v>-776.09</v>
      </c>
      <c r="BB26">
        <v>-100.037</v>
      </c>
      <c r="BC26">
        <v>356.486</v>
      </c>
      <c r="BD26">
        <v>143.062</v>
      </c>
      <c r="BE26">
        <v>264.827</v>
      </c>
      <c r="BF26">
        <v>486.373</v>
      </c>
      <c r="BG26">
        <v>7.846</v>
      </c>
      <c r="BH26">
        <v>9588.708000000001</v>
      </c>
      <c r="BI26">
        <v>-3073.514</v>
      </c>
      <c r="BJ26">
        <v>2734.883</v>
      </c>
      <c r="BK26">
        <v>496747.295</v>
      </c>
      <c r="BL26">
        <v>555594.688</v>
      </c>
      <c r="BM26">
        <v>524499.083</v>
      </c>
      <c r="BN26">
        <v>14305187000000</v>
      </c>
      <c r="BO26">
        <v>5038417000000</v>
      </c>
      <c r="BP26">
        <v>10.60877490511218</v>
      </c>
      <c r="BQ26">
        <v>56112.51</v>
      </c>
      <c r="BR26">
        <v>22.09749619677589</v>
      </c>
      <c r="BS26">
        <v>5.123099984112966</v>
      </c>
      <c r="BT26">
        <v>41.7102449226854</v>
      </c>
      <c r="BU26">
        <v>10.59178467163458</v>
      </c>
      <c r="BV26">
        <v>14851.17281434313</v>
      </c>
      <c r="BW26">
        <v>2184.983</v>
      </c>
      <c r="BX26">
        <v>4111.984</v>
      </c>
      <c r="BY26">
        <v>11101.716</v>
      </c>
      <c r="BZ26">
        <v>27.77231569893441</v>
      </c>
      <c r="CA26">
        <v>25.23228767313774</v>
      </c>
      <c r="CB26">
        <v>0</v>
      </c>
      <c r="CC26">
        <v>0</v>
      </c>
      <c r="CD26">
        <v>-4.547473508864641E-13</v>
      </c>
      <c r="CE26">
        <v>4.547473508864641E-13</v>
      </c>
      <c r="CF26">
        <v>9.094947017729282E-13</v>
      </c>
      <c r="CG26">
        <v>0</v>
      </c>
      <c r="CH26">
        <v>0</v>
      </c>
      <c r="CI26">
        <v>0</v>
      </c>
    </row>
    <row r="27" spans="1:87">
      <c r="A27" t="s">
        <v>737</v>
      </c>
      <c r="B27" t="s">
        <v>9</v>
      </c>
      <c r="C27" t="s">
        <v>751</v>
      </c>
      <c r="D27">
        <v>7169.788</v>
      </c>
      <c r="E27">
        <v>1345.434</v>
      </c>
      <c r="F27">
        <v>10116.855</v>
      </c>
      <c r="G27">
        <v>-3462.739</v>
      </c>
      <c r="H27">
        <v>6654.116</v>
      </c>
      <c r="I27">
        <v>-2011.426</v>
      </c>
      <c r="J27">
        <v>4642.69</v>
      </c>
      <c r="K27">
        <v>3702.395</v>
      </c>
      <c r="L27">
        <v>3526.064</v>
      </c>
      <c r="M27">
        <v>0</v>
      </c>
      <c r="N27">
        <v>363554.778</v>
      </c>
      <c r="O27">
        <v>-8757.683999999999</v>
      </c>
      <c r="P27">
        <v>384692.155</v>
      </c>
      <c r="Q27">
        <v>66886.924</v>
      </c>
      <c r="R27">
        <v>607140.419</v>
      </c>
      <c r="S27">
        <v>62486.023</v>
      </c>
      <c r="T27">
        <v>37783.218</v>
      </c>
      <c r="U27">
        <v>363554778000000</v>
      </c>
      <c r="V27">
        <v>356373794000000</v>
      </c>
      <c r="W27">
        <v>3912949000000</v>
      </c>
      <c r="X27">
        <v>1433433000000</v>
      </c>
      <c r="Y27">
        <v>1015111000000</v>
      </c>
      <c r="Z27">
        <v>819491000000</v>
      </c>
      <c r="AA27">
        <v>384692155000000</v>
      </c>
      <c r="AB27">
        <v>171396096000000</v>
      </c>
      <c r="AC27">
        <v>0</v>
      </c>
      <c r="AD27">
        <v>0</v>
      </c>
      <c r="AE27">
        <v>0</v>
      </c>
      <c r="AF27">
        <v>0</v>
      </c>
      <c r="AG27">
        <v>0.898911305189888</v>
      </c>
      <c r="AH27">
        <v>1.0763024547569</v>
      </c>
      <c r="AI27">
        <v>44.55409182960853</v>
      </c>
      <c r="AJ27">
        <v>0</v>
      </c>
      <c r="AK27">
        <v>267.9801164920204</v>
      </c>
      <c r="AL27">
        <v>34.22742542025165</v>
      </c>
      <c r="AM27">
        <v>2.29883442649489</v>
      </c>
      <c r="AN27">
        <v>24.41137897246708</v>
      </c>
      <c r="AO27">
        <v>2.547369544592241</v>
      </c>
      <c r="AP27">
        <v>84.17978844964722</v>
      </c>
      <c r="AQ27">
        <v>23.74696879999862</v>
      </c>
      <c r="AR27">
        <v>21.87678679941594</v>
      </c>
      <c r="AS27">
        <v>94.50537872289075</v>
      </c>
      <c r="AT27">
        <v>26199.554</v>
      </c>
      <c r="AU27">
        <v>36934.498</v>
      </c>
      <c r="AV27">
        <v>-12377.188</v>
      </c>
      <c r="AW27">
        <v>-8030.050999999999</v>
      </c>
      <c r="AX27">
        <v>16527.259</v>
      </c>
      <c r="AY27">
        <v>13221.437</v>
      </c>
      <c r="AZ27">
        <v>16538.03627843452</v>
      </c>
      <c r="BA27">
        <v>-940.295</v>
      </c>
      <c r="BB27">
        <v>-176.331</v>
      </c>
      <c r="BC27">
        <v>416.551</v>
      </c>
      <c r="BD27">
        <v>58.567</v>
      </c>
      <c r="BE27">
        <v>180.924</v>
      </c>
      <c r="BF27">
        <v>907.984</v>
      </c>
      <c r="BG27">
        <v>37.607</v>
      </c>
      <c r="BH27">
        <v>10227.821</v>
      </c>
      <c r="BI27">
        <v>-3058.033</v>
      </c>
      <c r="BJ27">
        <v>2911.188</v>
      </c>
      <c r="BK27">
        <v>544654.3959999999</v>
      </c>
      <c r="BL27">
        <v>607140.419</v>
      </c>
      <c r="BM27">
        <v>574485.124</v>
      </c>
      <c r="BN27">
        <v>11727772000000</v>
      </c>
      <c r="BO27">
        <v>4388708000000</v>
      </c>
      <c r="BP27">
        <v>23.71099725465324</v>
      </c>
      <c r="BQ27">
        <v>59574.835</v>
      </c>
      <c r="BR27">
        <v>24.38340338781221</v>
      </c>
      <c r="BS27">
        <v>5.219210943583651</v>
      </c>
      <c r="BT27">
        <v>48.74354040310492</v>
      </c>
      <c r="BU27">
        <v>10.2918568826168</v>
      </c>
      <c r="BV27">
        <v>15767.53864639057</v>
      </c>
      <c r="BW27">
        <v>2947.067</v>
      </c>
      <c r="BX27">
        <v>4367.377999999999</v>
      </c>
      <c r="BY27">
        <v>12697.075</v>
      </c>
      <c r="BZ27">
        <v>23.71099725465324</v>
      </c>
      <c r="CA27">
        <v>21.87678679941594</v>
      </c>
      <c r="CB27">
        <v>0</v>
      </c>
      <c r="CC27">
        <v>0</v>
      </c>
      <c r="CD27">
        <v>-9.094947017729282E-13</v>
      </c>
      <c r="CE27">
        <v>4.547473508864641E-13</v>
      </c>
      <c r="CF27">
        <v>0</v>
      </c>
      <c r="CG27">
        <v>0</v>
      </c>
      <c r="CH27">
        <v>0</v>
      </c>
      <c r="CI27">
        <v>0</v>
      </c>
    </row>
    <row r="28" spans="1:87">
      <c r="A28" t="s">
        <v>738</v>
      </c>
      <c r="B28" t="s">
        <v>9</v>
      </c>
      <c r="C28" t="s">
        <v>772</v>
      </c>
      <c r="D28">
        <v>8385.485000000001</v>
      </c>
      <c r="E28">
        <v>1117.114</v>
      </c>
      <c r="F28">
        <v>11633.066</v>
      </c>
      <c r="G28">
        <v>-3597.881</v>
      </c>
      <c r="H28">
        <v>8035.185</v>
      </c>
      <c r="I28">
        <v>-2125.512</v>
      </c>
      <c r="J28">
        <v>5909.673</v>
      </c>
      <c r="K28">
        <v>4726.442</v>
      </c>
      <c r="L28">
        <v>4546.209</v>
      </c>
      <c r="M28">
        <v>0</v>
      </c>
      <c r="N28">
        <v>415549.473</v>
      </c>
      <c r="O28">
        <v>-10327.894</v>
      </c>
      <c r="P28">
        <v>390173.507</v>
      </c>
      <c r="Q28">
        <v>72036.558</v>
      </c>
      <c r="R28">
        <v>649039.794</v>
      </c>
      <c r="S28">
        <v>67063.548</v>
      </c>
      <c r="T28">
        <v>37783.218</v>
      </c>
      <c r="U28">
        <v>415549473000000</v>
      </c>
      <c r="V28">
        <v>406560197000000</v>
      </c>
      <c r="W28">
        <v>4859334000000</v>
      </c>
      <c r="X28">
        <v>1322871000000</v>
      </c>
      <c r="Y28">
        <v>1538168000000</v>
      </c>
      <c r="Z28">
        <v>1268903000000</v>
      </c>
      <c r="AA28">
        <v>390173507000000</v>
      </c>
      <c r="AB28">
        <v>161673416000000</v>
      </c>
      <c r="AC28">
        <v>0</v>
      </c>
      <c r="AD28">
        <v>0</v>
      </c>
      <c r="AE28">
        <v>0</v>
      </c>
      <c r="AF28">
        <v>0</v>
      </c>
      <c r="AG28">
        <v>0.9938508573201824</v>
      </c>
      <c r="AH28">
        <v>1.169375565541867</v>
      </c>
      <c r="AI28">
        <v>41.43628747197333</v>
      </c>
      <c r="AJ28">
        <v>0</v>
      </c>
      <c r="AK28">
        <v>250.0735845685</v>
      </c>
      <c r="AL28">
        <v>30.92805456446305</v>
      </c>
      <c r="AM28">
        <v>2.182518703777423</v>
      </c>
      <c r="AN28">
        <v>29.18692490305506</v>
      </c>
      <c r="AO28">
        <v>3.010040725740997</v>
      </c>
      <c r="AP28">
        <v>28.9147300353596</v>
      </c>
      <c r="AQ28">
        <v>40.88431252767961</v>
      </c>
      <c r="AR28">
        <v>14.30174987275232</v>
      </c>
      <c r="AS28">
        <v>106.5037644906014</v>
      </c>
      <c r="AT28">
        <v>28633.003</v>
      </c>
      <c r="AU28">
        <v>39374.7</v>
      </c>
      <c r="AV28">
        <v>-13171.12</v>
      </c>
      <c r="AW28">
        <v>-8346.505999999999</v>
      </c>
      <c r="AX28">
        <v>17857.074</v>
      </c>
      <c r="AY28">
        <v>14281.547</v>
      </c>
      <c r="AZ28">
        <v>17749.55960606637</v>
      </c>
      <c r="BA28">
        <v>-1183.231</v>
      </c>
      <c r="BB28">
        <v>-180.233</v>
      </c>
      <c r="BC28">
        <v>467.02</v>
      </c>
      <c r="BD28">
        <v>99.53400000000001</v>
      </c>
      <c r="BE28">
        <v>1024.499</v>
      </c>
      <c r="BF28">
        <v>537.9880000000001</v>
      </c>
      <c r="BG28">
        <v>1.426</v>
      </c>
      <c r="BH28">
        <v>11663.87</v>
      </c>
      <c r="BI28">
        <v>-3278.385</v>
      </c>
      <c r="BJ28">
        <v>3091.324</v>
      </c>
      <c r="BK28">
        <v>581976.246</v>
      </c>
      <c r="BL28">
        <v>649039.794</v>
      </c>
      <c r="BM28">
        <v>623272.562</v>
      </c>
      <c r="BN28">
        <v>9381837000000</v>
      </c>
      <c r="BO28">
        <v>3535731000000</v>
      </c>
      <c r="BP28">
        <v>1.424867112249784</v>
      </c>
      <c r="BQ28">
        <v>63972.224</v>
      </c>
      <c r="BR28">
        <v>29.43790997080716</v>
      </c>
      <c r="BS28">
        <v>5.600788939541816</v>
      </c>
      <c r="BT28">
        <v>44.74701148789172</v>
      </c>
      <c r="BU28">
        <v>10.3327328493513</v>
      </c>
      <c r="BV28">
        <v>16931.38578085117</v>
      </c>
      <c r="BW28">
        <v>3247.581</v>
      </c>
      <c r="BX28">
        <v>4418.526</v>
      </c>
      <c r="BY28">
        <v>13690.475</v>
      </c>
      <c r="BZ28">
        <v>18.981928147192</v>
      </c>
      <c r="CA28">
        <v>28.25309084399698</v>
      </c>
      <c r="CB28">
        <v>0</v>
      </c>
      <c r="CC28">
        <v>1.818989403545856E-12</v>
      </c>
      <c r="CD28">
        <v>-9.094947017729282E-13</v>
      </c>
      <c r="CE28">
        <v>0</v>
      </c>
      <c r="CF28">
        <v>-9.094947017729282E-13</v>
      </c>
      <c r="CG28">
        <v>0</v>
      </c>
      <c r="CH28">
        <v>0</v>
      </c>
      <c r="CI28">
        <v>0</v>
      </c>
    </row>
    <row r="29" spans="1:87">
      <c r="A29" t="s">
        <v>739</v>
      </c>
      <c r="B29" t="s">
        <v>9</v>
      </c>
      <c r="C29" t="s">
        <v>773</v>
      </c>
      <c r="D29">
        <v>8969.406000000001</v>
      </c>
      <c r="E29">
        <v>1010.449</v>
      </c>
      <c r="F29">
        <v>11221.88</v>
      </c>
      <c r="G29">
        <v>-3860.555</v>
      </c>
      <c r="H29">
        <v>7361.325</v>
      </c>
      <c r="I29">
        <v>-1374.812</v>
      </c>
      <c r="J29">
        <v>5986.513</v>
      </c>
      <c r="K29">
        <v>4793.819</v>
      </c>
      <c r="L29">
        <v>4623.202</v>
      </c>
      <c r="M29">
        <v>0</v>
      </c>
      <c r="N29">
        <v>415456.939</v>
      </c>
      <c r="O29">
        <v>-11017.533</v>
      </c>
      <c r="P29">
        <v>396909.793</v>
      </c>
      <c r="Q29">
        <v>91626.44500000001</v>
      </c>
      <c r="R29">
        <v>658274.3959999999</v>
      </c>
      <c r="S29">
        <v>70906.806</v>
      </c>
      <c r="T29">
        <v>37783.218</v>
      </c>
      <c r="U29">
        <v>415456939000000</v>
      </c>
      <c r="V29">
        <v>404813013000000</v>
      </c>
      <c r="W29">
        <v>5668182000000</v>
      </c>
      <c r="X29">
        <v>1981317000000</v>
      </c>
      <c r="Y29">
        <v>1167832000000</v>
      </c>
      <c r="Z29">
        <v>1826595000000</v>
      </c>
      <c r="AA29">
        <v>396909793000000</v>
      </c>
      <c r="AB29">
        <v>166353328000000</v>
      </c>
      <c r="AC29">
        <v>0</v>
      </c>
      <c r="AD29">
        <v>0.112</v>
      </c>
      <c r="AE29">
        <v>0</v>
      </c>
      <c r="AF29">
        <v>0</v>
      </c>
      <c r="AG29">
        <v>1.197655769567012</v>
      </c>
      <c r="AH29">
        <v>1.364324787460103</v>
      </c>
      <c r="AI29">
        <v>41.91212485402193</v>
      </c>
      <c r="AJ29">
        <v>0.112</v>
      </c>
      <c r="AK29">
        <v>221.4248361652047</v>
      </c>
      <c r="AL29">
        <v>34.40203424025208</v>
      </c>
      <c r="AM29">
        <v>1.323515178845576</v>
      </c>
      <c r="AN29">
        <v>27.79622642701924</v>
      </c>
      <c r="AO29">
        <v>2.933537499504997</v>
      </c>
      <c r="AP29">
        <v>75.56580358813801</v>
      </c>
      <c r="AQ29">
        <v>36.67591309213392</v>
      </c>
      <c r="AR29">
        <v>14.27629731220312</v>
      </c>
      <c r="AS29">
        <v>104.6728869700627</v>
      </c>
      <c r="AT29">
        <v>31039.873</v>
      </c>
      <c r="AU29">
        <v>41671.978</v>
      </c>
      <c r="AV29">
        <v>-13944.891</v>
      </c>
      <c r="AW29">
        <v>-7289.907999999999</v>
      </c>
      <c r="AX29">
        <v>20437.179</v>
      </c>
      <c r="AY29">
        <v>16344.869</v>
      </c>
      <c r="AZ29">
        <v>18766.74612522417</v>
      </c>
      <c r="BA29">
        <v>-1192.694</v>
      </c>
      <c r="BB29">
        <v>-170.617</v>
      </c>
      <c r="BC29">
        <v>471.628</v>
      </c>
      <c r="BD29">
        <v>34.504</v>
      </c>
      <c r="BE29">
        <v>48.957</v>
      </c>
      <c r="BF29">
        <v>566.691</v>
      </c>
      <c r="BG29">
        <v>120.245</v>
      </c>
      <c r="BH29">
        <v>12480.118</v>
      </c>
      <c r="BI29">
        <v>-3510.712</v>
      </c>
      <c r="BJ29">
        <v>3232.365</v>
      </c>
      <c r="BK29">
        <v>587367.59</v>
      </c>
      <c r="BL29">
        <v>658274.3959999999</v>
      </c>
      <c r="BM29">
        <v>627393.764</v>
      </c>
      <c r="BN29">
        <v>9580954000000</v>
      </c>
      <c r="BO29">
        <v>4506415000000</v>
      </c>
      <c r="BP29">
        <v>3.17595195046283</v>
      </c>
      <c r="BQ29">
        <v>67674.44099999999</v>
      </c>
      <c r="BR29">
        <v>28.09460915701891</v>
      </c>
      <c r="BS29">
        <v>5.737361477500915</v>
      </c>
      <c r="BT29">
        <v>45.46138699077148</v>
      </c>
      <c r="BU29">
        <v>10.77161840576889</v>
      </c>
      <c r="BV29">
        <v>17911.24329325257</v>
      </c>
      <c r="BW29">
        <v>2252.473999999998</v>
      </c>
      <c r="BX29">
        <v>4399.386</v>
      </c>
      <c r="BY29">
        <v>15717.651</v>
      </c>
      <c r="BZ29">
        <v>15.55061015286805</v>
      </c>
      <c r="CA29">
        <v>25.45998427550169</v>
      </c>
      <c r="CB29">
        <v>0</v>
      </c>
      <c r="CC29">
        <v>-5.456968210637569E-12</v>
      </c>
      <c r="CD29">
        <v>0</v>
      </c>
      <c r="CE29">
        <v>9.094947017729282E-13</v>
      </c>
      <c r="CF29">
        <v>9.094947017729282E-13</v>
      </c>
      <c r="CG29">
        <v>0</v>
      </c>
      <c r="CH29">
        <v>0</v>
      </c>
      <c r="CI29">
        <v>0</v>
      </c>
    </row>
    <row r="30" spans="1:87">
      <c r="A30" t="s">
        <v>740</v>
      </c>
      <c r="B30" t="s">
        <v>9</v>
      </c>
      <c r="C30" t="s">
        <v>774</v>
      </c>
      <c r="D30">
        <v>9038.629000000001</v>
      </c>
      <c r="E30">
        <v>784.296</v>
      </c>
      <c r="F30">
        <v>10986.25</v>
      </c>
      <c r="G30">
        <v>-3728.778</v>
      </c>
      <c r="H30">
        <v>7257.472</v>
      </c>
      <c r="I30">
        <v>-961.967</v>
      </c>
      <c r="J30">
        <v>6295.505</v>
      </c>
      <c r="K30">
        <v>5034.902</v>
      </c>
      <c r="L30">
        <v>4879.193</v>
      </c>
      <c r="M30">
        <v>0</v>
      </c>
      <c r="N30">
        <v>426232.638</v>
      </c>
      <c r="O30">
        <v>-9171.148999999999</v>
      </c>
      <c r="P30">
        <v>377145.234</v>
      </c>
      <c r="Q30">
        <v>101773.163</v>
      </c>
      <c r="R30">
        <v>656804.225</v>
      </c>
      <c r="S30">
        <v>75909.876</v>
      </c>
      <c r="T30">
        <v>37783.218</v>
      </c>
      <c r="U30">
        <v>426232638000000</v>
      </c>
      <c r="V30">
        <v>414862905000000</v>
      </c>
      <c r="W30">
        <v>6954720000000</v>
      </c>
      <c r="X30">
        <v>1674218000000</v>
      </c>
      <c r="Y30">
        <v>1225278000000</v>
      </c>
      <c r="Z30">
        <v>1515517000000</v>
      </c>
      <c r="AA30">
        <v>377145234000000</v>
      </c>
      <c r="AB30">
        <v>147648566000000</v>
      </c>
      <c r="AC30">
        <v>0</v>
      </c>
      <c r="AD30">
        <v>0</v>
      </c>
      <c r="AE30">
        <v>0</v>
      </c>
      <c r="AF30">
        <v>0</v>
      </c>
      <c r="AG30">
        <v>1.035822367033282</v>
      </c>
      <c r="AH30">
        <v>1.631672326322416</v>
      </c>
      <c r="AI30">
        <v>39.14899425720968</v>
      </c>
      <c r="AJ30">
        <v>0</v>
      </c>
      <c r="AK30">
        <v>207.7264325156007</v>
      </c>
      <c r="AL30">
        <v>33.94040732734099</v>
      </c>
      <c r="AM30">
        <v>0.9143199833161292</v>
      </c>
      <c r="AN30">
        <v>27.43504038594197</v>
      </c>
      <c r="AO30">
        <v>3.062875128284821</v>
      </c>
      <c r="AP30">
        <v>61.26068272728349</v>
      </c>
      <c r="AQ30">
        <v>38.73154045758269</v>
      </c>
      <c r="AR30">
        <v>17.24027953773721</v>
      </c>
      <c r="AS30">
        <v>113.0155175181135</v>
      </c>
      <c r="AT30">
        <v>33563.308</v>
      </c>
      <c r="AU30">
        <v>43958.05100000001</v>
      </c>
      <c r="AV30">
        <v>-14649.953</v>
      </c>
      <c r="AW30">
        <v>-6473.717000000001</v>
      </c>
      <c r="AX30">
        <v>22834.381</v>
      </c>
      <c r="AY30">
        <v>18257.558</v>
      </c>
      <c r="AZ30">
        <v>20090.89749846082</v>
      </c>
      <c r="BA30">
        <v>-1260.603</v>
      </c>
      <c r="BB30">
        <v>-155.709</v>
      </c>
      <c r="BC30">
        <v>401.834</v>
      </c>
      <c r="BD30">
        <v>1.472</v>
      </c>
      <c r="BE30">
        <v>169.412</v>
      </c>
      <c r="BF30">
        <v>585.491</v>
      </c>
      <c r="BG30">
        <v>5.116</v>
      </c>
      <c r="BH30">
        <v>13038.154</v>
      </c>
      <c r="BI30">
        <v>-3999.525</v>
      </c>
      <c r="BJ30">
        <v>3388.139</v>
      </c>
      <c r="BK30">
        <v>580894.349</v>
      </c>
      <c r="BL30">
        <v>656804.225</v>
      </c>
      <c r="BM30">
        <v>625533.785</v>
      </c>
      <c r="BN30">
        <v>9097273000000</v>
      </c>
      <c r="BO30">
        <v>3217076000000</v>
      </c>
      <c r="BP30">
        <v>-1.961807877262278</v>
      </c>
      <c r="BQ30">
        <v>72521.73700000001</v>
      </c>
      <c r="BR30">
        <v>27.84208853396845</v>
      </c>
      <c r="BS30">
        <v>5.771206168921105</v>
      </c>
      <c r="BT30">
        <v>42.41414197481281</v>
      </c>
      <c r="BU30">
        <v>11.5574585410135</v>
      </c>
      <c r="BV30">
        <v>19194.16630949752</v>
      </c>
      <c r="BW30">
        <v>1947.620999999999</v>
      </c>
      <c r="BX30">
        <v>4257.293</v>
      </c>
      <c r="BY30">
        <v>17574.668</v>
      </c>
      <c r="BZ30">
        <v>9.651359279150771</v>
      </c>
      <c r="CA30">
        <v>26.69417574549527</v>
      </c>
      <c r="CB30">
        <v>-1.164153218269348E-10</v>
      </c>
      <c r="CC30">
        <v>-1.818989403545856E-12</v>
      </c>
      <c r="CD30">
        <v>0</v>
      </c>
      <c r="CE30">
        <v>0</v>
      </c>
      <c r="CF30">
        <v>0</v>
      </c>
      <c r="CG30">
        <v>0</v>
      </c>
      <c r="CH30">
        <v>0</v>
      </c>
      <c r="CI30">
        <v>0</v>
      </c>
    </row>
    <row r="31" spans="1:87">
      <c r="A31" t="s">
        <v>741</v>
      </c>
      <c r="B31" t="s">
        <v>9</v>
      </c>
      <c r="C31" t="s">
        <v>775</v>
      </c>
      <c r="D31">
        <v>9629.602000000001</v>
      </c>
      <c r="E31">
        <v>1223.709</v>
      </c>
      <c r="F31">
        <v>11751.429</v>
      </c>
      <c r="G31">
        <v>-3628.414</v>
      </c>
      <c r="H31">
        <v>8123.015</v>
      </c>
      <c r="I31">
        <v>-3585.386</v>
      </c>
      <c r="J31">
        <v>4537.629</v>
      </c>
      <c r="K31">
        <v>3600.022</v>
      </c>
      <c r="L31">
        <v>3434.131</v>
      </c>
      <c r="M31">
        <v>0</v>
      </c>
      <c r="N31">
        <v>460574.482</v>
      </c>
      <c r="O31">
        <v>-11975.86</v>
      </c>
      <c r="P31">
        <v>443605.638</v>
      </c>
      <c r="Q31">
        <v>96578.125</v>
      </c>
      <c r="R31">
        <v>728532.373</v>
      </c>
      <c r="S31">
        <v>79613.219</v>
      </c>
      <c r="T31">
        <v>45339.861</v>
      </c>
      <c r="U31">
        <v>460574482000000</v>
      </c>
      <c r="V31">
        <v>447734256000000</v>
      </c>
      <c r="W31">
        <v>7808932000000</v>
      </c>
      <c r="X31">
        <v>1517212000000</v>
      </c>
      <c r="Y31">
        <v>1220770000000</v>
      </c>
      <c r="Z31">
        <v>2293312000000</v>
      </c>
      <c r="AA31">
        <v>443605638000000</v>
      </c>
      <c r="AB31">
        <v>166971567000000</v>
      </c>
      <c r="AC31">
        <v>0</v>
      </c>
      <c r="AD31">
        <v>0</v>
      </c>
      <c r="AE31">
        <v>0</v>
      </c>
      <c r="AF31">
        <v>0</v>
      </c>
      <c r="AG31">
        <v>1.092395301222963</v>
      </c>
      <c r="AH31">
        <v>1.695476476701547</v>
      </c>
      <c r="AI31">
        <v>37.63964041412837</v>
      </c>
      <c r="AJ31">
        <v>0</v>
      </c>
      <c r="AK31">
        <v>238.0274338967272</v>
      </c>
      <c r="AL31">
        <v>30.87636405751165</v>
      </c>
      <c r="AM31">
        <v>3.234422384881168</v>
      </c>
      <c r="AN31">
        <v>18.51826315570687</v>
      </c>
      <c r="AO31">
        <v>2.078929845755797</v>
      </c>
      <c r="AP31">
        <v>-2.765048029721306</v>
      </c>
      <c r="AQ31">
        <v>34.30804369668952</v>
      </c>
      <c r="AR31">
        <v>26.68640597538785</v>
      </c>
      <c r="AS31">
        <v>103.8252092729263</v>
      </c>
      <c r="AT31">
        <v>36023.122</v>
      </c>
      <c r="AU31">
        <v>45592.625</v>
      </c>
      <c r="AV31">
        <v>-14815.628</v>
      </c>
      <c r="AW31">
        <v>-8047.677</v>
      </c>
      <c r="AX31">
        <v>22729.32</v>
      </c>
      <c r="AY31">
        <v>18155.185</v>
      </c>
      <c r="AZ31">
        <v>17559.21108800929</v>
      </c>
      <c r="BA31">
        <v>-937.607</v>
      </c>
      <c r="BB31">
        <v>-165.891</v>
      </c>
      <c r="BC31">
        <v>363.478</v>
      </c>
      <c r="BD31">
        <v>5.618</v>
      </c>
      <c r="BE31">
        <v>72.38</v>
      </c>
      <c r="BF31">
        <v>451.488</v>
      </c>
      <c r="BG31">
        <v>5.154</v>
      </c>
      <c r="BH31">
        <v>15303.67</v>
      </c>
      <c r="BI31">
        <v>-5674.068</v>
      </c>
      <c r="BJ31">
        <v>3664.125</v>
      </c>
      <c r="BK31">
        <v>648919.154</v>
      </c>
      <c r="BL31">
        <v>728532.373</v>
      </c>
      <c r="BM31">
        <v>698275.849</v>
      </c>
      <c r="BN31">
        <v>10354786000000</v>
      </c>
      <c r="BO31">
        <v>2827115000000</v>
      </c>
      <c r="BP31">
        <v>15.31444877008212</v>
      </c>
      <c r="BQ31">
        <v>75949.094</v>
      </c>
      <c r="BR31">
        <v>18.50400365846945</v>
      </c>
      <c r="BS31">
        <v>5.819327342952393</v>
      </c>
      <c r="BT31">
        <v>40.61117636201008</v>
      </c>
      <c r="BU31">
        <v>10.92789036569003</v>
      </c>
      <c r="BV31">
        <v>16751.06458751605</v>
      </c>
      <c r="BW31">
        <v>2121.827</v>
      </c>
      <c r="BX31">
        <v>4135.567999999999</v>
      </c>
      <c r="BY31">
        <v>17482.735</v>
      </c>
      <c r="BZ31">
        <v>15.31444877008212</v>
      </c>
      <c r="CA31">
        <v>26.68640597538785</v>
      </c>
      <c r="CB31">
        <v>0</v>
      </c>
      <c r="CC31">
        <v>0</v>
      </c>
      <c r="CD31">
        <v>-9.094947017729282E-13</v>
      </c>
      <c r="CE31">
        <v>0</v>
      </c>
      <c r="CF31">
        <v>9.094947017729282E-13</v>
      </c>
      <c r="CG31">
        <v>0</v>
      </c>
      <c r="CH31">
        <v>0</v>
      </c>
      <c r="CI31">
        <v>0</v>
      </c>
    </row>
    <row r="32" spans="1:87">
      <c r="A32" t="s">
        <v>742</v>
      </c>
      <c r="B32" t="s">
        <v>9</v>
      </c>
      <c r="C32" t="s">
        <v>776</v>
      </c>
      <c r="D32">
        <v>10227.193</v>
      </c>
      <c r="E32">
        <v>689.646</v>
      </c>
      <c r="F32">
        <v>11929.717</v>
      </c>
      <c r="G32">
        <v>-3567.903</v>
      </c>
      <c r="H32">
        <v>8361.814</v>
      </c>
      <c r="I32">
        <v>-1849.648</v>
      </c>
      <c r="J32">
        <v>6512.166</v>
      </c>
      <c r="K32">
        <v>5205.556</v>
      </c>
      <c r="L32">
        <v>5023.662</v>
      </c>
      <c r="M32">
        <v>0</v>
      </c>
      <c r="N32">
        <v>481386.268</v>
      </c>
      <c r="O32">
        <v>-11687.339</v>
      </c>
      <c r="P32">
        <v>452414.711</v>
      </c>
      <c r="Q32">
        <v>105025.49</v>
      </c>
      <c r="R32">
        <v>760761.405</v>
      </c>
      <c r="S32">
        <v>84767.48299999999</v>
      </c>
      <c r="T32">
        <v>45339.861</v>
      </c>
      <c r="U32">
        <v>481386268000000</v>
      </c>
      <c r="V32">
        <v>456257284000000</v>
      </c>
      <c r="W32">
        <v>16675704000000</v>
      </c>
      <c r="X32">
        <v>3455312000000</v>
      </c>
      <c r="Y32">
        <v>1622045000000</v>
      </c>
      <c r="Z32">
        <v>3375923000000</v>
      </c>
      <c r="AA32">
        <v>452414711000000</v>
      </c>
      <c r="AB32">
        <v>149281568000000</v>
      </c>
      <c r="AC32">
        <v>0</v>
      </c>
      <c r="AD32">
        <v>0</v>
      </c>
      <c r="AE32">
        <v>0</v>
      </c>
      <c r="AF32">
        <v>0</v>
      </c>
      <c r="AG32">
        <v>1.756028487293701</v>
      </c>
      <c r="AH32">
        <v>3.464100475753496</v>
      </c>
      <c r="AI32">
        <v>32.99662110235845</v>
      </c>
      <c r="AJ32">
        <v>0</v>
      </c>
      <c r="AK32">
        <v>138.2580371169534</v>
      </c>
      <c r="AL32">
        <v>29.90769185890998</v>
      </c>
      <c r="AM32">
        <v>1.570891780788106</v>
      </c>
      <c r="AN32">
        <v>25.33414658370299</v>
      </c>
      <c r="AO32">
        <v>2.796254749410495</v>
      </c>
      <c r="AP32">
        <v>10.13688520878919</v>
      </c>
      <c r="AQ32">
        <v>21.96304686013985</v>
      </c>
      <c r="AR32">
        <v>4.518658070162029</v>
      </c>
      <c r="AS32">
        <v>106.4037610395034</v>
      </c>
      <c r="AT32">
        <v>37864.83</v>
      </c>
      <c r="AU32">
        <v>45889.276</v>
      </c>
      <c r="AV32">
        <v>-14785.65</v>
      </c>
      <c r="AW32">
        <v>-7771.812999999999</v>
      </c>
      <c r="AX32">
        <v>23331.813</v>
      </c>
      <c r="AY32">
        <v>18634.299</v>
      </c>
      <c r="AZ32">
        <v>18696.01739625977</v>
      </c>
      <c r="BA32">
        <v>-1306.61</v>
      </c>
      <c r="BB32">
        <v>-181.894</v>
      </c>
      <c r="BC32">
        <v>370.697</v>
      </c>
      <c r="BD32">
        <v>37.024</v>
      </c>
      <c r="BE32">
        <v>134.963</v>
      </c>
      <c r="BF32">
        <v>466.982</v>
      </c>
      <c r="BG32">
        <v>3.212</v>
      </c>
      <c r="BH32">
        <v>17383.068</v>
      </c>
      <c r="BI32">
        <v>-7155.875</v>
      </c>
      <c r="BJ32">
        <v>3845.711</v>
      </c>
      <c r="BK32">
        <v>675993.922</v>
      </c>
      <c r="BL32">
        <v>760761.405</v>
      </c>
      <c r="BM32">
        <v>732060.329</v>
      </c>
      <c r="BN32">
        <v>8590999000000</v>
      </c>
      <c r="BO32">
        <v>2944944000000</v>
      </c>
      <c r="BP32">
        <v>1.985789233814938</v>
      </c>
      <c r="BQ32">
        <v>80921.772</v>
      </c>
      <c r="BR32">
        <v>25.61934986704287</v>
      </c>
      <c r="BS32">
        <v>5.720161823383592</v>
      </c>
      <c r="BT32">
        <v>35.54648137867471</v>
      </c>
      <c r="BU32">
        <v>11.14245313220115</v>
      </c>
      <c r="BV32">
        <v>17847.82092737338</v>
      </c>
      <c r="BW32">
        <v>1702.524000000001</v>
      </c>
      <c r="BX32">
        <v>3708.1</v>
      </c>
      <c r="BY32">
        <v>17960.188</v>
      </c>
      <c r="BZ32">
        <v>15.95218611293361</v>
      </c>
      <c r="CA32">
        <v>15.84331091186344</v>
      </c>
      <c r="CB32">
        <v>0</v>
      </c>
      <c r="CC32">
        <v>1.818989403545856E-12</v>
      </c>
      <c r="CD32">
        <v>0</v>
      </c>
      <c r="CE32">
        <v>-9.094947017729282E-13</v>
      </c>
      <c r="CF32">
        <v>0</v>
      </c>
      <c r="CG32">
        <v>0</v>
      </c>
      <c r="CH32">
        <v>0</v>
      </c>
      <c r="CI32">
        <v>0</v>
      </c>
    </row>
    <row r="33" spans="1:87">
      <c r="A33" t="s">
        <v>743</v>
      </c>
      <c r="B33" t="s">
        <v>9</v>
      </c>
      <c r="C33" t="s">
        <v>777</v>
      </c>
      <c r="D33">
        <v>9481.370000000001</v>
      </c>
      <c r="E33">
        <v>860.772</v>
      </c>
      <c r="F33">
        <v>11560.835</v>
      </c>
      <c r="G33">
        <v>-4135.168</v>
      </c>
      <c r="H33">
        <v>7425.667</v>
      </c>
      <c r="I33">
        <v>-1202.803</v>
      </c>
      <c r="J33">
        <v>6222.864</v>
      </c>
      <c r="K33">
        <v>4982.44</v>
      </c>
      <c r="L33">
        <v>4893.495</v>
      </c>
      <c r="M33">
        <v>0</v>
      </c>
      <c r="N33">
        <v>518071.328</v>
      </c>
      <c r="O33">
        <v>-11675.919</v>
      </c>
      <c r="P33">
        <v>475406.125</v>
      </c>
      <c r="Q33">
        <v>112432.233</v>
      </c>
      <c r="R33">
        <v>806237.5870000001</v>
      </c>
      <c r="S33">
        <v>86069.124</v>
      </c>
      <c r="T33">
        <v>45339.861</v>
      </c>
      <c r="U33">
        <v>518071328000000</v>
      </c>
      <c r="V33">
        <v>491966934000000</v>
      </c>
      <c r="W33">
        <v>18624398000000</v>
      </c>
      <c r="X33">
        <v>2825513000000</v>
      </c>
      <c r="Y33">
        <v>2782979000000</v>
      </c>
      <c r="Z33">
        <v>1871504000000</v>
      </c>
      <c r="AA33">
        <v>475406125000000</v>
      </c>
      <c r="AB33">
        <v>164396511000000</v>
      </c>
      <c r="AC33">
        <v>0</v>
      </c>
      <c r="AD33">
        <v>0.1128</v>
      </c>
      <c r="AE33">
        <v>0</v>
      </c>
      <c r="AF33">
        <v>0</v>
      </c>
      <c r="AG33">
        <v>1.443815860043118</v>
      </c>
      <c r="AH33">
        <v>3.594948609084191</v>
      </c>
      <c r="AI33">
        <v>34.58022569650318</v>
      </c>
      <c r="AJ33">
        <v>0.1128</v>
      </c>
      <c r="AK33">
        <v>156.095257270191</v>
      </c>
      <c r="AL33">
        <v>35.76876583741572</v>
      </c>
      <c r="AM33">
        <v>0.9627646073740984</v>
      </c>
      <c r="AN33">
        <v>23.33195484267608</v>
      </c>
      <c r="AO33">
        <v>2.543685107871467</v>
      </c>
      <c r="AP33">
        <v>3.934670875141499</v>
      </c>
      <c r="AQ33">
        <v>5.707891916142493</v>
      </c>
      <c r="AR33">
        <v>12.48372375089595</v>
      </c>
      <c r="AS33">
        <v>108.9744748240254</v>
      </c>
      <c r="AT33">
        <v>38376.794</v>
      </c>
      <c r="AU33">
        <v>46228.231</v>
      </c>
      <c r="AV33">
        <v>-15060.263</v>
      </c>
      <c r="AW33">
        <v>-7599.804</v>
      </c>
      <c r="AX33">
        <v>23568.164</v>
      </c>
      <c r="AY33">
        <v>18822.92</v>
      </c>
      <c r="AZ33">
        <v>18983.10274925633</v>
      </c>
      <c r="BA33">
        <v>-1240.424</v>
      </c>
      <c r="BB33">
        <v>-88.94499999999999</v>
      </c>
      <c r="BC33">
        <v>324.943</v>
      </c>
      <c r="BD33">
        <v>122.498</v>
      </c>
      <c r="BE33">
        <v>108.91</v>
      </c>
      <c r="BF33">
        <v>628.973</v>
      </c>
      <c r="BG33">
        <v>33.369</v>
      </c>
      <c r="BH33">
        <v>17440.908</v>
      </c>
      <c r="BI33">
        <v>-7959.538</v>
      </c>
      <c r="BJ33">
        <v>3895.569</v>
      </c>
      <c r="BK33">
        <v>720168.463</v>
      </c>
      <c r="BL33">
        <v>806237.5870000001</v>
      </c>
      <c r="BM33">
        <v>776654.633</v>
      </c>
      <c r="BN33">
        <v>9217875000000</v>
      </c>
      <c r="BO33">
        <v>2560534000000</v>
      </c>
      <c r="BP33">
        <v>7.168639051427039</v>
      </c>
      <c r="BQ33">
        <v>82173.55499999999</v>
      </c>
      <c r="BR33">
        <v>24.00311567479797</v>
      </c>
      <c r="BS33">
        <v>5.027520897615384</v>
      </c>
      <c r="BT33">
        <v>37.05777244666336</v>
      </c>
      <c r="BU33">
        <v>10.67540454424385</v>
      </c>
      <c r="BV33">
        <v>18123.90977555048</v>
      </c>
      <c r="BW33">
        <v>2079.464999999998</v>
      </c>
      <c r="BX33">
        <v>3558.423</v>
      </c>
      <c r="BY33">
        <v>18230.481</v>
      </c>
      <c r="BZ33">
        <v>19.77686955181779</v>
      </c>
      <c r="CA33">
        <v>24.69916358768531</v>
      </c>
      <c r="CB33">
        <v>1.164153218269348E-10</v>
      </c>
      <c r="CC33">
        <v>-1.818989403545856E-12</v>
      </c>
      <c r="CD33">
        <v>-9.094947017729282E-13</v>
      </c>
      <c r="CE33">
        <v>0</v>
      </c>
      <c r="CF33">
        <v>9.094947017729282E-13</v>
      </c>
      <c r="CG33">
        <v>0</v>
      </c>
      <c r="CH33">
        <v>0</v>
      </c>
      <c r="CI33">
        <v>0</v>
      </c>
    </row>
    <row r="34" spans="1:87">
      <c r="A34" t="s">
        <v>744</v>
      </c>
      <c r="B34" t="s">
        <v>9</v>
      </c>
      <c r="C34" t="s">
        <v>758</v>
      </c>
      <c r="D34">
        <v>9811.793</v>
      </c>
      <c r="E34">
        <v>1079.089</v>
      </c>
      <c r="F34">
        <v>12065.15</v>
      </c>
      <c r="G34">
        <v>-3333.959</v>
      </c>
      <c r="H34">
        <v>8731.191000000001</v>
      </c>
      <c r="I34">
        <v>-1447.404</v>
      </c>
      <c r="J34">
        <v>7283.787</v>
      </c>
      <c r="K34">
        <v>5820.708</v>
      </c>
      <c r="L34">
        <v>5773.265</v>
      </c>
      <c r="M34">
        <v>0</v>
      </c>
      <c r="N34">
        <v>536301.777</v>
      </c>
      <c r="O34">
        <v>-12332.56</v>
      </c>
      <c r="P34">
        <v>479732.568</v>
      </c>
      <c r="Q34">
        <v>116032.356</v>
      </c>
      <c r="R34">
        <v>815880.535</v>
      </c>
      <c r="S34">
        <v>91762.995</v>
      </c>
      <c r="T34">
        <v>52140.841</v>
      </c>
      <c r="U34">
        <v>536301777000000</v>
      </c>
      <c r="V34">
        <v>510255770000000</v>
      </c>
      <c r="W34">
        <v>15935207000000</v>
      </c>
      <c r="X34">
        <v>4403400000000</v>
      </c>
      <c r="Y34">
        <v>3824825000000</v>
      </c>
      <c r="Z34">
        <v>1882575000000</v>
      </c>
      <c r="AA34">
        <v>479732568000000</v>
      </c>
      <c r="AB34">
        <v>161140755000000</v>
      </c>
      <c r="AC34">
        <v>0</v>
      </c>
      <c r="AD34">
        <v>0</v>
      </c>
      <c r="AE34">
        <v>0</v>
      </c>
      <c r="AF34">
        <v>0</v>
      </c>
      <c r="AG34">
        <v>1.885281838251302</v>
      </c>
      <c r="AH34">
        <v>2.971313481215633</v>
      </c>
      <c r="AI34">
        <v>33.58970512921275</v>
      </c>
      <c r="AJ34">
        <v>0</v>
      </c>
      <c r="AK34">
        <v>121.9741266764252</v>
      </c>
      <c r="AL34">
        <v>27.63296767963929</v>
      </c>
      <c r="AM34">
        <v>1.098210106563748</v>
      </c>
      <c r="AN34">
        <v>26.1851819917863</v>
      </c>
      <c r="AO34">
        <v>2.870670351835204</v>
      </c>
      <c r="AP34">
        <v>15.60717567094652</v>
      </c>
      <c r="AQ34">
        <v>8.553996408083563</v>
      </c>
      <c r="AR34">
        <v>16.44192154788115</v>
      </c>
      <c r="AS34">
        <v>111.7918216884537</v>
      </c>
      <c r="AT34">
        <v>39149.958</v>
      </c>
      <c r="AU34">
        <v>47307.131</v>
      </c>
      <c r="AV34">
        <v>-14665.444</v>
      </c>
      <c r="AW34">
        <v>-8085.241</v>
      </c>
      <c r="AX34">
        <v>24556.446</v>
      </c>
      <c r="AY34">
        <v>19608.726</v>
      </c>
      <c r="AZ34">
        <v>17599.06308377343</v>
      </c>
      <c r="BA34">
        <v>-1463.079</v>
      </c>
      <c r="BB34">
        <v>-47.443</v>
      </c>
      <c r="BC34">
        <v>224.464</v>
      </c>
      <c r="BD34">
        <v>185.957</v>
      </c>
      <c r="BE34">
        <v>180.558</v>
      </c>
      <c r="BF34">
        <v>570.677</v>
      </c>
      <c r="BG34">
        <v>12.612</v>
      </c>
      <c r="BH34">
        <v>17322.406</v>
      </c>
      <c r="BI34">
        <v>-7510.613</v>
      </c>
      <c r="BJ34">
        <v>3914.443</v>
      </c>
      <c r="BK34">
        <v>724117.54</v>
      </c>
      <c r="BL34">
        <v>815880.535</v>
      </c>
      <c r="BM34">
        <v>788120.302</v>
      </c>
      <c r="BN34">
        <v>8782196000000</v>
      </c>
      <c r="BO34">
        <v>2559358000000</v>
      </c>
      <c r="BP34">
        <v>8.14392940605504</v>
      </c>
      <c r="BQ34">
        <v>87848.552</v>
      </c>
      <c r="BR34">
        <v>27.16477334326883</v>
      </c>
      <c r="BS34">
        <v>5.01633444173235</v>
      </c>
      <c r="BT34">
        <v>35.95384606033251</v>
      </c>
      <c r="BU34">
        <v>11.2471116865167</v>
      </c>
      <c r="BV34">
        <v>16848.31895979583</v>
      </c>
      <c r="BW34">
        <v>2253.357</v>
      </c>
      <c r="BX34">
        <v>3853.216</v>
      </c>
      <c r="BY34">
        <v>19124.553</v>
      </c>
      <c r="BZ34">
        <v>27.20101561723567</v>
      </c>
      <c r="CA34">
        <v>25.82372375716568</v>
      </c>
      <c r="CB34">
        <v>0</v>
      </c>
      <c r="CC34">
        <v>0</v>
      </c>
      <c r="CD34">
        <v>0</v>
      </c>
      <c r="CE34">
        <v>-9.094947017729282E-13</v>
      </c>
      <c r="CF34">
        <v>1.818989403545856E-12</v>
      </c>
      <c r="CG34">
        <v>0</v>
      </c>
      <c r="CH34">
        <v>0</v>
      </c>
      <c r="CI34">
        <v>0</v>
      </c>
    </row>
    <row r="35" spans="1:87">
      <c r="A35" t="s">
        <v>745</v>
      </c>
      <c r="B35" t="s">
        <v>9</v>
      </c>
      <c r="C35" t="s">
        <v>778</v>
      </c>
      <c r="D35">
        <v>9163.492</v>
      </c>
      <c r="E35">
        <v>1455.718</v>
      </c>
      <c r="F35">
        <v>11750.36</v>
      </c>
      <c r="G35">
        <v>-3875.911</v>
      </c>
      <c r="H35">
        <v>7874.449</v>
      </c>
      <c r="I35">
        <v>-1587.177</v>
      </c>
      <c r="J35">
        <v>6287.272</v>
      </c>
      <c r="K35">
        <v>5045.088</v>
      </c>
      <c r="L35">
        <v>4986.366</v>
      </c>
      <c r="M35">
        <v>0</v>
      </c>
      <c r="N35">
        <v>611048.83</v>
      </c>
      <c r="O35">
        <v>-11469.563</v>
      </c>
      <c r="P35">
        <v>567532.577</v>
      </c>
      <c r="Q35">
        <v>126463.11</v>
      </c>
      <c r="R35">
        <v>944953.64</v>
      </c>
      <c r="S35">
        <v>96711.159</v>
      </c>
      <c r="T35">
        <v>52140.841</v>
      </c>
      <c r="U35">
        <v>611048830000000</v>
      </c>
      <c r="V35">
        <v>587326305000000</v>
      </c>
      <c r="W35">
        <v>13917867000000</v>
      </c>
      <c r="X35">
        <v>3210741000000</v>
      </c>
      <c r="Y35">
        <v>3704226000000</v>
      </c>
      <c r="Z35">
        <v>2889691000000</v>
      </c>
      <c r="AA35">
        <v>567532577000000</v>
      </c>
      <c r="AB35">
        <v>216092296000000</v>
      </c>
      <c r="AC35">
        <v>0</v>
      </c>
      <c r="AD35">
        <v>0</v>
      </c>
      <c r="AE35">
        <v>0</v>
      </c>
      <c r="AF35">
        <v>0</v>
      </c>
      <c r="AG35">
        <v>1.60456211003628</v>
      </c>
      <c r="AH35">
        <v>2.277701276344805</v>
      </c>
      <c r="AI35">
        <v>38.07575190525142</v>
      </c>
      <c r="AJ35">
        <v>0</v>
      </c>
      <c r="AK35">
        <v>116.9807554735718</v>
      </c>
      <c r="AL35">
        <v>32.98546597721261</v>
      </c>
      <c r="AM35">
        <v>1.106672705146353</v>
      </c>
      <c r="AN35">
        <v>21.41445028054085</v>
      </c>
      <c r="AO35">
        <v>2.292135430640424</v>
      </c>
      <c r="AP35">
        <v>40.14047691930771</v>
      </c>
      <c r="AQ35">
        <v>-4.8403869651103</v>
      </c>
      <c r="AR35">
        <v>32.67101280700131</v>
      </c>
      <c r="AS35">
        <v>107.6676220473596</v>
      </c>
      <c r="AT35">
        <v>38683.848</v>
      </c>
      <c r="AU35">
        <v>47306.062</v>
      </c>
      <c r="AV35">
        <v>-14912.941</v>
      </c>
      <c r="AW35">
        <v>-6087.031999999999</v>
      </c>
      <c r="AX35">
        <v>26306.089</v>
      </c>
      <c r="AY35">
        <v>21053.792</v>
      </c>
      <c r="AZ35">
        <v>18548.06273646411</v>
      </c>
      <c r="BA35">
        <v>-1242.184</v>
      </c>
      <c r="BB35">
        <v>-58.722</v>
      </c>
      <c r="BC35">
        <v>289.721</v>
      </c>
      <c r="BD35">
        <v>196.087</v>
      </c>
      <c r="BE35">
        <v>-124.027</v>
      </c>
      <c r="BF35">
        <v>761.479</v>
      </c>
      <c r="BG35">
        <v>7.89</v>
      </c>
      <c r="BH35">
        <v>16996.661</v>
      </c>
      <c r="BI35">
        <v>-7833.169</v>
      </c>
      <c r="BJ35">
        <v>3973.11</v>
      </c>
      <c r="BK35">
        <v>848242.481</v>
      </c>
      <c r="BL35">
        <v>944953.64</v>
      </c>
      <c r="BM35">
        <v>918218.648</v>
      </c>
      <c r="BN35">
        <v>8755005000000</v>
      </c>
      <c r="BO35">
        <v>3263844000000</v>
      </c>
      <c r="BP35">
        <v>27.93628583232752</v>
      </c>
      <c r="BQ35">
        <v>92738.049</v>
      </c>
      <c r="BR35">
        <v>22.08963886528879</v>
      </c>
      <c r="BS35">
        <v>4.296211839974701</v>
      </c>
      <c r="BT35">
        <v>40.19348919242745</v>
      </c>
      <c r="BU35">
        <v>10.23448716489414</v>
      </c>
      <c r="BV35">
        <v>17786.0669719539</v>
      </c>
      <c r="BW35">
        <v>2586.868</v>
      </c>
      <c r="BX35">
        <v>4085.225</v>
      </c>
      <c r="BY35">
        <v>20676.788</v>
      </c>
      <c r="BZ35">
        <v>27.93628583232752</v>
      </c>
      <c r="CA35">
        <v>32.67101280700131</v>
      </c>
      <c r="CB35">
        <v>0</v>
      </c>
      <c r="CC35">
        <v>1.818989403545856E-12</v>
      </c>
      <c r="CD35">
        <v>0</v>
      </c>
      <c r="CE35">
        <v>0</v>
      </c>
      <c r="CF35">
        <v>-9.094947017729282E-13</v>
      </c>
      <c r="CG35">
        <v>0</v>
      </c>
      <c r="CH35">
        <v>0</v>
      </c>
      <c r="CI35">
        <v>0</v>
      </c>
    </row>
    <row r="36" spans="1:87">
      <c r="A36" t="s">
        <v>746</v>
      </c>
      <c r="B36" t="s">
        <v>9</v>
      </c>
      <c r="C36" t="s">
        <v>779</v>
      </c>
      <c r="D36">
        <v>9062.293</v>
      </c>
      <c r="E36">
        <v>945.201</v>
      </c>
      <c r="F36">
        <v>12016.698</v>
      </c>
      <c r="G36">
        <v>-3514.292</v>
      </c>
      <c r="H36">
        <v>8502.406000000001</v>
      </c>
      <c r="I36">
        <v>-2707.095</v>
      </c>
      <c r="J36">
        <v>5795.311</v>
      </c>
      <c r="K36">
        <v>4624.216</v>
      </c>
      <c r="L36">
        <v>4532.698</v>
      </c>
      <c r="M36">
        <v>0</v>
      </c>
      <c r="N36">
        <v>615316.724</v>
      </c>
      <c r="O36">
        <v>-12244.33</v>
      </c>
      <c r="P36">
        <v>558826.062</v>
      </c>
      <c r="Q36">
        <v>102482.877</v>
      </c>
      <c r="R36">
        <v>900647.1409999999</v>
      </c>
      <c r="S36">
        <v>101341.424</v>
      </c>
      <c r="T36">
        <v>52140.841</v>
      </c>
      <c r="U36">
        <v>615316724000000</v>
      </c>
      <c r="V36">
        <v>585902868000000</v>
      </c>
      <c r="W36">
        <v>14119439000000</v>
      </c>
      <c r="X36">
        <v>4038993000000</v>
      </c>
      <c r="Y36">
        <v>5207370000000</v>
      </c>
      <c r="Z36">
        <v>6048054000000</v>
      </c>
      <c r="AA36">
        <v>558826062000000</v>
      </c>
      <c r="AB36">
        <v>194084946000000</v>
      </c>
      <c r="AC36">
        <v>0</v>
      </c>
      <c r="AD36">
        <v>0</v>
      </c>
      <c r="AE36">
        <v>0</v>
      </c>
      <c r="AF36">
        <v>0</v>
      </c>
      <c r="AG36">
        <v>2.485616984465386</v>
      </c>
      <c r="AH36">
        <v>2.294661992642345</v>
      </c>
      <c r="AI36">
        <v>34.73083293670724</v>
      </c>
      <c r="AJ36">
        <v>0</v>
      </c>
      <c r="AK36">
        <v>80.05751379735496</v>
      </c>
      <c r="AL36">
        <v>29.24507214877165</v>
      </c>
      <c r="AM36">
        <v>1.765930226053952</v>
      </c>
      <c r="AN36">
        <v>18.67874048378354</v>
      </c>
      <c r="AO36">
        <v>2.0044274136011</v>
      </c>
      <c r="AP36">
        <v>-11.16768314470154</v>
      </c>
      <c r="AQ36">
        <v>-11.39022212644271</v>
      </c>
      <c r="AR36">
        <v>0.6984538371508142</v>
      </c>
      <c r="AS36">
        <v>110.1088094921386</v>
      </c>
      <c r="AT36">
        <v>37518.948</v>
      </c>
      <c r="AU36">
        <v>47393.04300000001</v>
      </c>
      <c r="AV36">
        <v>-14859.33</v>
      </c>
      <c r="AW36">
        <v>-6944.479</v>
      </c>
      <c r="AX36">
        <v>25589.234</v>
      </c>
      <c r="AY36">
        <v>20472.452</v>
      </c>
      <c r="AZ36">
        <v>19436.09310022445</v>
      </c>
      <c r="BA36">
        <v>-1171.095</v>
      </c>
      <c r="BB36">
        <v>-91.518</v>
      </c>
      <c r="BC36">
        <v>461.483</v>
      </c>
      <c r="BD36">
        <v>964.787</v>
      </c>
      <c r="BE36">
        <v>216.958</v>
      </c>
      <c r="BF36">
        <v>364.448</v>
      </c>
      <c r="BG36">
        <v>1.528</v>
      </c>
      <c r="BH36">
        <v>16260.267</v>
      </c>
      <c r="BI36">
        <v>-7197.974</v>
      </c>
      <c r="BJ36">
        <v>4066.862</v>
      </c>
      <c r="BK36">
        <v>799305.7169999999</v>
      </c>
      <c r="BL36">
        <v>900647.1409999999</v>
      </c>
      <c r="BM36">
        <v>877204.137</v>
      </c>
      <c r="BN36">
        <v>7698946000000</v>
      </c>
      <c r="BO36">
        <v>3004942000000</v>
      </c>
      <c r="BP36">
        <v>-1.534099601122985</v>
      </c>
      <c r="BQ36">
        <v>97274.56200000001</v>
      </c>
      <c r="BR36">
        <v>19.08377754990168</v>
      </c>
      <c r="BS36">
        <v>4.037953879481372</v>
      </c>
      <c r="BT36">
        <v>36.64625684547976</v>
      </c>
      <c r="BU36">
        <v>11.25206747311487</v>
      </c>
      <c r="BV36">
        <v>18656.11680486704</v>
      </c>
      <c r="BW36">
        <v>2954.405000000001</v>
      </c>
      <c r="BX36">
        <v>4340.78</v>
      </c>
      <c r="BY36">
        <v>20185.824</v>
      </c>
      <c r="BZ36">
        <v>23.52075394825082</v>
      </c>
      <c r="CA36">
        <v>27.82182727322835</v>
      </c>
      <c r="CB36">
        <v>0</v>
      </c>
      <c r="CC36">
        <v>0</v>
      </c>
      <c r="CD36">
        <v>-1.818989403545856E-12</v>
      </c>
      <c r="CE36">
        <v>9.094947017729282E-13</v>
      </c>
      <c r="CF36">
        <v>0</v>
      </c>
      <c r="CG36">
        <v>0</v>
      </c>
      <c r="CH36">
        <v>0</v>
      </c>
      <c r="CI36">
        <v>0</v>
      </c>
    </row>
    <row r="37" spans="1:87">
      <c r="A37" t="s">
        <v>747</v>
      </c>
      <c r="B37" t="s">
        <v>9</v>
      </c>
      <c r="C37" t="s">
        <v>780</v>
      </c>
      <c r="D37">
        <v>10531.113</v>
      </c>
      <c r="E37">
        <v>1354.267</v>
      </c>
      <c r="F37">
        <v>14129.248</v>
      </c>
      <c r="G37">
        <v>-4490.504</v>
      </c>
      <c r="H37">
        <v>9638.744000000001</v>
      </c>
      <c r="I37">
        <v>-2005.743</v>
      </c>
      <c r="J37">
        <v>7633.001</v>
      </c>
      <c r="K37">
        <v>6101.983</v>
      </c>
      <c r="L37">
        <v>6026.749</v>
      </c>
      <c r="M37">
        <v>0</v>
      </c>
      <c r="N37">
        <v>673799.059</v>
      </c>
      <c r="O37">
        <v>-11214.544</v>
      </c>
      <c r="P37">
        <v>618617.638</v>
      </c>
      <c r="Q37">
        <v>99399.834</v>
      </c>
      <c r="R37">
        <v>988604.894</v>
      </c>
      <c r="S37">
        <v>104213.948</v>
      </c>
      <c r="T37">
        <v>52870.841</v>
      </c>
      <c r="U37">
        <v>673799059000000</v>
      </c>
      <c r="V37">
        <v>650405879000000</v>
      </c>
      <c r="W37">
        <v>12370132000000</v>
      </c>
      <c r="X37">
        <v>3665451000000</v>
      </c>
      <c r="Y37">
        <v>4816496000000</v>
      </c>
      <c r="Z37">
        <v>2541101000000</v>
      </c>
      <c r="AA37">
        <v>618617638000000</v>
      </c>
      <c r="AB37">
        <v>230210233000000</v>
      </c>
      <c r="AC37">
        <v>0</v>
      </c>
      <c r="AD37">
        <v>0.111</v>
      </c>
      <c r="AE37">
        <v>0</v>
      </c>
      <c r="AF37">
        <v>0</v>
      </c>
      <c r="AG37">
        <v>1.635954792866519</v>
      </c>
      <c r="AH37">
        <v>1.835878491483616</v>
      </c>
      <c r="AI37">
        <v>37.21365490713668</v>
      </c>
      <c r="AJ37">
        <v>0.111</v>
      </c>
      <c r="AK37">
        <v>101.7372327508689</v>
      </c>
      <c r="AL37">
        <v>31.78162064959154</v>
      </c>
      <c r="AM37">
        <v>1.244724811502831</v>
      </c>
      <c r="AN37">
        <v>23.7482793687338</v>
      </c>
      <c r="AO37">
        <v>2.583872511218441</v>
      </c>
      <c r="AP37">
        <v>22.46977384574627</v>
      </c>
      <c r="AQ37">
        <v>11.07163838137315</v>
      </c>
      <c r="AR37">
        <v>10.26926587847326</v>
      </c>
      <c r="AS37">
        <v>108.9201176316929</v>
      </c>
      <c r="AT37">
        <v>38568.691</v>
      </c>
      <c r="AU37">
        <v>49961.456</v>
      </c>
      <c r="AV37">
        <v>-15214.666</v>
      </c>
      <c r="AW37">
        <v>-7747.419</v>
      </c>
      <c r="AX37">
        <v>26999.371</v>
      </c>
      <c r="AY37">
        <v>21591.995</v>
      </c>
      <c r="AZ37">
        <v>19711.04412732909</v>
      </c>
      <c r="BA37">
        <v>-1531.018</v>
      </c>
      <c r="BB37">
        <v>-75.23399999999999</v>
      </c>
      <c r="BC37">
        <v>393.436</v>
      </c>
      <c r="BD37">
        <v>447.03</v>
      </c>
      <c r="BE37">
        <v>346.241</v>
      </c>
      <c r="BF37">
        <v>1035.4</v>
      </c>
      <c r="BG37">
        <v>21.761</v>
      </c>
      <c r="BH37">
        <v>16952.93</v>
      </c>
      <c r="BI37">
        <v>-6421.817</v>
      </c>
      <c r="BJ37">
        <v>4065.509</v>
      </c>
      <c r="BK37">
        <v>884390.946</v>
      </c>
      <c r="BL37">
        <v>988604.894</v>
      </c>
      <c r="BM37">
        <v>963483.656</v>
      </c>
      <c r="BN37">
        <v>3647031000000</v>
      </c>
      <c r="BO37">
        <v>5149011000000</v>
      </c>
      <c r="BP37">
        <v>9.001256151679904</v>
      </c>
      <c r="BQ37">
        <v>100148.439</v>
      </c>
      <c r="BR37">
        <v>24.4216690840395</v>
      </c>
      <c r="BS37">
        <v>4.577033884855018</v>
      </c>
      <c r="BT37">
        <v>38.6355416202989</v>
      </c>
      <c r="BU37">
        <v>10.54151649789425</v>
      </c>
      <c r="BV37">
        <v>18942.09305276608</v>
      </c>
      <c r="BW37">
        <v>3598.135</v>
      </c>
      <c r="BX37">
        <v>4834.275</v>
      </c>
      <c r="BY37">
        <v>21319.078</v>
      </c>
      <c r="BZ37">
        <v>30.12403615960985</v>
      </c>
      <c r="CA37">
        <v>30.05912942551416</v>
      </c>
      <c r="CB37">
        <v>0</v>
      </c>
      <c r="CC37">
        <v>0</v>
      </c>
      <c r="CD37">
        <v>0</v>
      </c>
      <c r="CE37">
        <v>0</v>
      </c>
      <c r="CF37">
        <v>1.818989403545856E-12</v>
      </c>
      <c r="CG37">
        <v>0</v>
      </c>
      <c r="CH37">
        <v>0</v>
      </c>
      <c r="CI37">
        <v>0</v>
      </c>
    </row>
    <row r="38" spans="1:87">
      <c r="A38" t="s">
        <v>436</v>
      </c>
      <c r="B38" t="s">
        <v>9</v>
      </c>
      <c r="C38" t="s">
        <v>781</v>
      </c>
      <c r="D38">
        <v>10416.635</v>
      </c>
      <c r="E38">
        <v>888.023</v>
      </c>
      <c r="F38">
        <v>12703.765</v>
      </c>
      <c r="G38">
        <v>-3755.899</v>
      </c>
      <c r="H38">
        <v>8947.866</v>
      </c>
      <c r="I38">
        <v>-1639.97</v>
      </c>
      <c r="J38">
        <v>7307.896</v>
      </c>
      <c r="K38">
        <v>5843.443</v>
      </c>
      <c r="L38">
        <v>5790.156</v>
      </c>
      <c r="M38">
        <v>0</v>
      </c>
      <c r="N38">
        <v>702019.545</v>
      </c>
      <c r="O38">
        <v>-10786.657</v>
      </c>
      <c r="P38">
        <v>627567.353</v>
      </c>
      <c r="Q38">
        <v>119550.968</v>
      </c>
      <c r="R38">
        <v>1028819.208</v>
      </c>
      <c r="S38">
        <v>110023.198</v>
      </c>
      <c r="T38">
        <v>52870.841</v>
      </c>
      <c r="U38">
        <v>702019545000000</v>
      </c>
      <c r="V38">
        <v>673077364000000</v>
      </c>
      <c r="W38">
        <v>13257510000000</v>
      </c>
      <c r="X38">
        <v>6054806000000</v>
      </c>
      <c r="Y38">
        <v>5582585000000</v>
      </c>
      <c r="Z38">
        <v>4047280000000</v>
      </c>
      <c r="AA38">
        <v>627567353000000</v>
      </c>
      <c r="AB38">
        <v>223762549000000</v>
      </c>
      <c r="AC38">
        <v>0</v>
      </c>
      <c r="AD38">
        <v>0</v>
      </c>
      <c r="AE38">
        <v>0</v>
      </c>
      <c r="AF38">
        <v>0</v>
      </c>
      <c r="AG38">
        <v>2.234221413308372</v>
      </c>
      <c r="AH38">
        <v>1.888481609155198</v>
      </c>
      <c r="AI38">
        <v>35.65554325449431</v>
      </c>
      <c r="AJ38">
        <v>0</v>
      </c>
      <c r="AK38">
        <v>68.7719685035153</v>
      </c>
      <c r="AL38">
        <v>29.56524305983305</v>
      </c>
      <c r="AM38">
        <v>0.9535966414363152</v>
      </c>
      <c r="AN38">
        <v>21.82046618563524</v>
      </c>
      <c r="AO38">
        <v>2.31718972493965</v>
      </c>
      <c r="AP38">
        <v>0.3905882239755076</v>
      </c>
      <c r="AQ38">
        <v>6.164439058182336</v>
      </c>
      <c r="AR38">
        <v>14.88763426647917</v>
      </c>
      <c r="AS38">
        <v>111.8636177685298</v>
      </c>
      <c r="AT38">
        <v>39173.533</v>
      </c>
      <c r="AU38">
        <v>50600.071</v>
      </c>
      <c r="AV38">
        <v>-15636.606</v>
      </c>
      <c r="AW38">
        <v>-7939.985</v>
      </c>
      <c r="AX38">
        <v>27023.48</v>
      </c>
      <c r="AY38">
        <v>21614.73</v>
      </c>
      <c r="AZ38">
        <v>20809.80667585749</v>
      </c>
      <c r="BA38">
        <v>-1464.453</v>
      </c>
      <c r="BB38">
        <v>-53.287</v>
      </c>
      <c r="BC38">
        <v>660.609</v>
      </c>
      <c r="BD38">
        <v>226.01</v>
      </c>
      <c r="BE38">
        <v>-172.432</v>
      </c>
      <c r="BF38">
        <v>677.927</v>
      </c>
      <c r="BG38">
        <v>6.993</v>
      </c>
      <c r="BH38">
        <v>17396.62</v>
      </c>
      <c r="BI38">
        <v>-6979.985</v>
      </c>
      <c r="BJ38">
        <v>4221.301</v>
      </c>
      <c r="BK38">
        <v>918796.01</v>
      </c>
      <c r="BL38">
        <v>1028819.208</v>
      </c>
      <c r="BM38">
        <v>1003636.155</v>
      </c>
      <c r="BN38">
        <v>4031567000000</v>
      </c>
      <c r="BO38">
        <v>1517061000000</v>
      </c>
      <c r="BP38">
        <v>10.57820791845046</v>
      </c>
      <c r="BQ38">
        <v>105801.897</v>
      </c>
      <c r="BR38">
        <v>22.49146512681581</v>
      </c>
      <c r="BS38">
        <v>4.236299158495944</v>
      </c>
      <c r="BT38">
        <v>36.53969185997475</v>
      </c>
      <c r="BU38">
        <v>10.69412362682093</v>
      </c>
      <c r="BV38">
        <v>20011.38907550194</v>
      </c>
      <c r="BW38">
        <v>2287.129999999999</v>
      </c>
      <c r="BX38">
        <v>4643.209</v>
      </c>
      <c r="BY38">
        <v>21335.969</v>
      </c>
      <c r="BZ38">
        <v>30.8160827221553</v>
      </c>
      <c r="CA38">
        <v>30.90009675653192</v>
      </c>
      <c r="CB38">
        <v>0</v>
      </c>
      <c r="CC38">
        <v>0</v>
      </c>
      <c r="CD38">
        <v>0</v>
      </c>
      <c r="CE38">
        <v>9.094947017729282E-13</v>
      </c>
      <c r="CF38">
        <v>0</v>
      </c>
      <c r="CG38">
        <v>0</v>
      </c>
      <c r="CH38">
        <v>0</v>
      </c>
      <c r="CI38">
        <v>0</v>
      </c>
    </row>
    <row r="39" spans="1:87">
      <c r="A39" t="s">
        <v>437</v>
      </c>
      <c r="B39" t="s">
        <v>9</v>
      </c>
      <c r="C39" t="s">
        <v>782</v>
      </c>
      <c r="D39">
        <v>11142.178</v>
      </c>
      <c r="E39">
        <v>1180.758</v>
      </c>
      <c r="F39">
        <v>16563.511</v>
      </c>
      <c r="G39">
        <v>-5246.555</v>
      </c>
      <c r="H39">
        <v>11316.956</v>
      </c>
      <c r="I39">
        <v>-3223.836</v>
      </c>
      <c r="J39">
        <v>8093.12</v>
      </c>
      <c r="K39">
        <v>6381.622</v>
      </c>
      <c r="L39">
        <v>6284.154</v>
      </c>
      <c r="M39">
        <v>0</v>
      </c>
      <c r="N39">
        <v>776657.846</v>
      </c>
      <c r="O39">
        <v>-11609.861</v>
      </c>
      <c r="P39">
        <v>714154.4790000001</v>
      </c>
      <c r="Q39">
        <v>128964.033</v>
      </c>
      <c r="R39">
        <v>1128801.062</v>
      </c>
      <c r="S39">
        <v>117059.581</v>
      </c>
      <c r="T39">
        <v>53063.241</v>
      </c>
      <c r="U39">
        <v>776657846000000</v>
      </c>
      <c r="V39">
        <v>751875632000000</v>
      </c>
      <c r="W39">
        <v>12196782000000</v>
      </c>
      <c r="X39">
        <v>3379646000000</v>
      </c>
      <c r="Y39">
        <v>4599274000000</v>
      </c>
      <c r="Z39">
        <v>4606512000000</v>
      </c>
      <c r="AA39">
        <v>714154479000000</v>
      </c>
      <c r="AB39">
        <v>271579760000000</v>
      </c>
      <c r="AC39">
        <v>0</v>
      </c>
      <c r="AD39">
        <v>0</v>
      </c>
      <c r="AE39">
        <v>0</v>
      </c>
      <c r="AF39">
        <v>0</v>
      </c>
      <c r="AG39">
        <v>1.620460292111695</v>
      </c>
      <c r="AH39">
        <v>1.570418951255918</v>
      </c>
      <c r="AI39">
        <v>38.02815328978704</v>
      </c>
      <c r="AJ39">
        <v>0</v>
      </c>
      <c r="AK39">
        <v>92.2484107021515</v>
      </c>
      <c r="AL39">
        <v>31.67537969455872</v>
      </c>
      <c r="AM39">
        <v>1.744172742274653</v>
      </c>
      <c r="AN39">
        <v>22.48209935813759</v>
      </c>
      <c r="AO39">
        <v>2.366170577364848</v>
      </c>
      <c r="AP39">
        <v>26.49178765563654</v>
      </c>
      <c r="AQ39">
        <v>21.59314374912968</v>
      </c>
      <c r="AR39">
        <v>27.10241929437949</v>
      </c>
      <c r="AS39">
        <v>108.7520793942958</v>
      </c>
      <c r="AT39">
        <v>41152.219</v>
      </c>
      <c r="AU39">
        <v>55413.222</v>
      </c>
      <c r="AV39">
        <v>-17007.25</v>
      </c>
      <c r="AW39">
        <v>-9576.644</v>
      </c>
      <c r="AX39">
        <v>28829.328</v>
      </c>
      <c r="AY39">
        <v>22951.264</v>
      </c>
      <c r="AZ39">
        <v>22060.39035572667</v>
      </c>
      <c r="BA39">
        <v>-1711.498</v>
      </c>
      <c r="BB39">
        <v>-97.468</v>
      </c>
      <c r="BC39">
        <v>484.636</v>
      </c>
      <c r="BD39">
        <v>118.195</v>
      </c>
      <c r="BE39">
        <v>2412.338</v>
      </c>
      <c r="BF39">
        <v>1203.045</v>
      </c>
      <c r="BG39">
        <v>22.361</v>
      </c>
      <c r="BH39">
        <v>18452.076</v>
      </c>
      <c r="BI39">
        <v>-7309.898</v>
      </c>
      <c r="BJ39">
        <v>4910.88</v>
      </c>
      <c r="BK39">
        <v>1011741.481</v>
      </c>
      <c r="BL39">
        <v>1128801.062</v>
      </c>
      <c r="BM39">
        <v>1102368.243</v>
      </c>
      <c r="BN39">
        <v>7306998000000</v>
      </c>
      <c r="BO39">
        <v>1790955000000</v>
      </c>
      <c r="BP39">
        <v>25.83497546080073</v>
      </c>
      <c r="BQ39">
        <v>112148.701</v>
      </c>
      <c r="BR39">
        <v>23.06634276819007</v>
      </c>
      <c r="BS39">
        <v>4.23253740992425</v>
      </c>
      <c r="BT39">
        <v>39.30210077139347</v>
      </c>
      <c r="BU39">
        <v>10.37025787277298</v>
      </c>
      <c r="BV39">
        <v>21134.91352704973</v>
      </c>
      <c r="BW39">
        <v>5421.332999999999</v>
      </c>
      <c r="BX39">
        <v>4368.249</v>
      </c>
      <c r="BY39">
        <v>22633.757</v>
      </c>
      <c r="BZ39">
        <v>25.83497546080073</v>
      </c>
      <c r="CA39">
        <v>27.10241929437949</v>
      </c>
      <c r="CB39">
        <v>0</v>
      </c>
      <c r="CC39">
        <v>-3.637978807091713E-12</v>
      </c>
      <c r="CD39">
        <v>-9.094947017729282E-13</v>
      </c>
      <c r="CE39">
        <v>9.094947017729282E-13</v>
      </c>
      <c r="CF39">
        <v>1.818989403545856E-12</v>
      </c>
      <c r="CG39">
        <v>0</v>
      </c>
      <c r="CH39">
        <v>0</v>
      </c>
      <c r="CI39">
        <v>0</v>
      </c>
    </row>
    <row r="40" spans="1:87">
      <c r="A40" t="s">
        <v>438</v>
      </c>
      <c r="B40" t="s">
        <v>9</v>
      </c>
      <c r="C40" t="s">
        <v>783</v>
      </c>
      <c r="D40">
        <v>11692.184</v>
      </c>
      <c r="E40">
        <v>1235.416</v>
      </c>
      <c r="F40">
        <v>15322.697</v>
      </c>
      <c r="G40">
        <v>-3949.958</v>
      </c>
      <c r="H40">
        <v>11372.739</v>
      </c>
      <c r="I40">
        <v>-2986.414</v>
      </c>
      <c r="J40">
        <v>8386.325000000001</v>
      </c>
      <c r="K40">
        <v>6674.879</v>
      </c>
      <c r="L40">
        <v>6567.74</v>
      </c>
      <c r="M40">
        <v>0</v>
      </c>
      <c r="N40">
        <v>797536.715</v>
      </c>
      <c r="O40">
        <v>-11049.736</v>
      </c>
      <c r="P40">
        <v>722622.45</v>
      </c>
      <c r="Q40">
        <v>146597.114</v>
      </c>
      <c r="R40">
        <v>1156917.195</v>
      </c>
      <c r="S40">
        <v>123676.548</v>
      </c>
      <c r="T40">
        <v>61022.727</v>
      </c>
      <c r="U40">
        <v>797536715000000</v>
      </c>
      <c r="V40">
        <v>767616878000000</v>
      </c>
      <c r="W40">
        <v>15237621000000</v>
      </c>
      <c r="X40">
        <v>4552314000000</v>
      </c>
      <c r="Y40">
        <v>4942438000000</v>
      </c>
      <c r="Z40">
        <v>5187464000000</v>
      </c>
      <c r="AA40">
        <v>722622450000000</v>
      </c>
      <c r="AB40">
        <v>251624213000000</v>
      </c>
      <c r="AC40">
        <v>0</v>
      </c>
      <c r="AD40">
        <v>0</v>
      </c>
      <c r="AE40">
        <v>0</v>
      </c>
      <c r="AF40">
        <v>0</v>
      </c>
      <c r="AG40">
        <v>1.840945466692402</v>
      </c>
      <c r="AH40">
        <v>1.910585520818311</v>
      </c>
      <c r="AI40">
        <v>34.82097919875033</v>
      </c>
      <c r="AJ40">
        <v>0</v>
      </c>
      <c r="AK40">
        <v>75.25932052763697</v>
      </c>
      <c r="AL40">
        <v>25.77847750954026</v>
      </c>
      <c r="AM40">
        <v>1.517684827015484</v>
      </c>
      <c r="AN40">
        <v>22.18156128945647</v>
      </c>
      <c r="AO40">
        <v>2.336203590992273</v>
      </c>
      <c r="AP40">
        <v>44.34617673568881</v>
      </c>
      <c r="AQ40">
        <v>29.02014975679996</v>
      </c>
      <c r="AR40">
        <v>2.688296926057188</v>
      </c>
      <c r="AS40">
        <v>110.3669993922829</v>
      </c>
      <c r="AT40">
        <v>43782.11</v>
      </c>
      <c r="AU40">
        <v>58719.221</v>
      </c>
      <c r="AV40">
        <v>-17442.916</v>
      </c>
      <c r="AW40">
        <v>-9855.963</v>
      </c>
      <c r="AX40">
        <v>31420.342</v>
      </c>
      <c r="AY40">
        <v>25001.927</v>
      </c>
      <c r="AZ40">
        <v>20267.29287270299</v>
      </c>
      <c r="BA40">
        <v>-1711.446</v>
      </c>
      <c r="BB40">
        <v>-107.139</v>
      </c>
      <c r="BC40">
        <v>537.8</v>
      </c>
      <c r="BD40">
        <v>168.718</v>
      </c>
      <c r="BE40">
        <v>509.329</v>
      </c>
      <c r="BF40">
        <v>1179.21</v>
      </c>
      <c r="BG40">
        <v>0.04</v>
      </c>
      <c r="BH40">
        <v>19590.312</v>
      </c>
      <c r="BI40">
        <v>-7898.128</v>
      </c>
      <c r="BJ40">
        <v>5093.259</v>
      </c>
      <c r="BK40">
        <v>1033240.647</v>
      </c>
      <c r="BL40">
        <v>1156917.195</v>
      </c>
      <c r="BM40">
        <v>1131177.615</v>
      </c>
      <c r="BN40">
        <v>6147509000000</v>
      </c>
      <c r="BO40">
        <v>1629156000000</v>
      </c>
      <c r="BP40">
        <v>1.185733794158539</v>
      </c>
      <c r="BQ40">
        <v>118583.289</v>
      </c>
      <c r="BR40">
        <v>22.77184017699496</v>
      </c>
      <c r="BS40">
        <v>4.187846498202501</v>
      </c>
      <c r="BT40">
        <v>35.89715182527197</v>
      </c>
      <c r="BU40">
        <v>10.69018150430377</v>
      </c>
      <c r="BV40">
        <v>19432.64334941963</v>
      </c>
      <c r="BW40">
        <v>3630.513000000001</v>
      </c>
      <c r="BX40">
        <v>4658.464</v>
      </c>
      <c r="BY40">
        <v>24668.799</v>
      </c>
      <c r="BZ40">
        <v>29.31079975292919</v>
      </c>
      <c r="CA40">
        <v>29.61401565935657</v>
      </c>
      <c r="CB40">
        <v>0</v>
      </c>
      <c r="CC40">
        <v>0</v>
      </c>
      <c r="CD40">
        <v>1.818989403545856E-12</v>
      </c>
      <c r="CE40">
        <v>-9.094947017729282E-13</v>
      </c>
      <c r="CF40">
        <v>0</v>
      </c>
      <c r="CG40">
        <v>0</v>
      </c>
      <c r="CH40">
        <v>0</v>
      </c>
      <c r="CI40">
        <v>0</v>
      </c>
    </row>
    <row r="41" spans="1:87">
      <c r="A41" t="s">
        <v>301</v>
      </c>
      <c r="B41" t="s">
        <v>9</v>
      </c>
      <c r="C41" t="s">
        <v>784</v>
      </c>
      <c r="D41">
        <v>12372.117</v>
      </c>
      <c r="E41">
        <v>1915.543</v>
      </c>
      <c r="F41">
        <v>17245.678</v>
      </c>
      <c r="G41">
        <v>-4956.47</v>
      </c>
      <c r="H41">
        <v>12289.208</v>
      </c>
      <c r="I41">
        <v>-4786.217</v>
      </c>
      <c r="J41">
        <v>7502.991</v>
      </c>
      <c r="K41">
        <v>6004.706</v>
      </c>
      <c r="L41">
        <v>5877.605</v>
      </c>
      <c r="M41">
        <v>0</v>
      </c>
      <c r="N41">
        <v>879888.513</v>
      </c>
      <c r="O41">
        <v>-12548.304</v>
      </c>
      <c r="P41">
        <v>783291.9080000001</v>
      </c>
      <c r="Q41">
        <v>170267.177</v>
      </c>
      <c r="R41">
        <v>1289644.328</v>
      </c>
      <c r="S41">
        <v>127803.65</v>
      </c>
      <c r="T41">
        <v>61022.727</v>
      </c>
      <c r="U41">
        <v>879888513000000</v>
      </c>
      <c r="V41">
        <v>854351086000000</v>
      </c>
      <c r="W41">
        <v>11420181000000</v>
      </c>
      <c r="X41">
        <v>3971087000000</v>
      </c>
      <c r="Y41">
        <v>4665908000000</v>
      </c>
      <c r="Z41">
        <v>5480251000000</v>
      </c>
      <c r="AA41">
        <v>783291908000000</v>
      </c>
      <c r="AB41">
        <v>289331514000000</v>
      </c>
      <c r="AC41">
        <v>0</v>
      </c>
      <c r="AD41">
        <v>0</v>
      </c>
      <c r="AE41">
        <v>0</v>
      </c>
      <c r="AF41">
        <v>0</v>
      </c>
      <c r="AG41">
        <v>1.6044357656025</v>
      </c>
      <c r="AH41">
        <v>1.297912273119992</v>
      </c>
      <c r="AI41">
        <v>36.93789135888788</v>
      </c>
      <c r="AJ41">
        <v>0</v>
      </c>
      <c r="AK41">
        <v>88.88634511292075</v>
      </c>
      <c r="AL41">
        <v>28.74036033839899</v>
      </c>
      <c r="AM41">
        <v>2.282649346203824</v>
      </c>
      <c r="AN41">
        <v>19.10196046529278</v>
      </c>
      <c r="AO41">
        <v>1.96347598653868</v>
      </c>
      <c r="AP41">
        <v>-1.594186676691822</v>
      </c>
      <c r="AQ41">
        <v>17.48157103622381</v>
      </c>
      <c r="AR41">
        <v>13.29165314322982</v>
      </c>
      <c r="AS41">
        <v>112.3321336545711</v>
      </c>
      <c r="AT41">
        <v>45623.114</v>
      </c>
      <c r="AU41">
        <v>61835.651</v>
      </c>
      <c r="AV41">
        <v>-17908.882</v>
      </c>
      <c r="AW41">
        <v>-12636.437</v>
      </c>
      <c r="AX41">
        <v>31290.332</v>
      </c>
      <c r="AY41">
        <v>24904.65</v>
      </c>
      <c r="AZ41">
        <v>20943.61499118189</v>
      </c>
      <c r="BA41">
        <v>-1498.285</v>
      </c>
      <c r="BB41">
        <v>-127.101</v>
      </c>
      <c r="BC41">
        <v>534.121</v>
      </c>
      <c r="BD41">
        <v>246.982</v>
      </c>
      <c r="BE41">
        <v>785.944</v>
      </c>
      <c r="BF41">
        <v>1363.797</v>
      </c>
      <c r="BG41">
        <v>27.174</v>
      </c>
      <c r="BH41">
        <v>21099.126</v>
      </c>
      <c r="BI41">
        <v>-8727.009</v>
      </c>
      <c r="BJ41">
        <v>5160.293</v>
      </c>
      <c r="BK41">
        <v>1161840.678</v>
      </c>
      <c r="BL41">
        <v>1289644.328</v>
      </c>
      <c r="BM41">
        <v>1261439.766</v>
      </c>
      <c r="BN41">
        <v>6321208000000</v>
      </c>
      <c r="BO41">
        <v>1229641000000</v>
      </c>
      <c r="BP41">
        <v>9.681018747765924</v>
      </c>
      <c r="BQ41">
        <v>122643.357</v>
      </c>
      <c r="BR41">
        <v>19.49239057114777</v>
      </c>
      <c r="BS41">
        <v>4.136764063739784</v>
      </c>
      <c r="BT41">
        <v>37.90188050812852</v>
      </c>
      <c r="BU41">
        <v>9.909992020683706</v>
      </c>
      <c r="BV41">
        <v>20097.98038032617</v>
      </c>
      <c r="BW41">
        <v>4873.561</v>
      </c>
      <c r="BX41">
        <v>5219.74</v>
      </c>
      <c r="BY41">
        <v>24519.655</v>
      </c>
      <c r="BZ41">
        <v>26.61971788137085</v>
      </c>
      <c r="CA41">
        <v>30.5861890495754</v>
      </c>
      <c r="CB41">
        <v>0</v>
      </c>
      <c r="CC41">
        <v>3.637978807091713E-12</v>
      </c>
      <c r="CD41">
        <v>-9.094947017729282E-13</v>
      </c>
      <c r="CE41">
        <v>0</v>
      </c>
      <c r="CF41">
        <v>1.818989403545856E-12</v>
      </c>
      <c r="CG41">
        <v>0</v>
      </c>
      <c r="CH41">
        <v>0</v>
      </c>
      <c r="CI41">
        <v>0</v>
      </c>
    </row>
    <row r="42" spans="1:87">
      <c r="A42" t="s">
        <v>439</v>
      </c>
      <c r="B42" t="s">
        <v>9</v>
      </c>
      <c r="C42" t="s">
        <v>785</v>
      </c>
      <c r="D42">
        <v>12990.524</v>
      </c>
      <c r="E42">
        <v>1326.555</v>
      </c>
      <c r="F42">
        <v>15596.694</v>
      </c>
      <c r="G42">
        <v>-4545.266</v>
      </c>
      <c r="H42">
        <v>11051.428</v>
      </c>
      <c r="I42">
        <v>-3801.508</v>
      </c>
      <c r="J42">
        <v>7249.92</v>
      </c>
      <c r="K42">
        <v>5800.441</v>
      </c>
      <c r="L42">
        <v>5571.024</v>
      </c>
      <c r="M42">
        <v>0</v>
      </c>
      <c r="N42">
        <v>931498.596</v>
      </c>
      <c r="O42">
        <v>-13799.595</v>
      </c>
      <c r="P42">
        <v>788030.328</v>
      </c>
      <c r="Q42">
        <v>171610.852</v>
      </c>
      <c r="R42">
        <v>1328560.306</v>
      </c>
      <c r="S42">
        <v>133090.745</v>
      </c>
      <c r="T42">
        <v>80549.999</v>
      </c>
      <c r="U42">
        <v>931498596000000</v>
      </c>
      <c r="V42">
        <v>901388740000000</v>
      </c>
      <c r="W42">
        <v>12687749000000</v>
      </c>
      <c r="X42">
        <v>4817632000000</v>
      </c>
      <c r="Y42">
        <v>7125719000000</v>
      </c>
      <c r="Z42">
        <v>5478756000000</v>
      </c>
      <c r="AA42">
        <v>788030328000000</v>
      </c>
      <c r="AB42">
        <v>283168843000000</v>
      </c>
      <c r="AC42">
        <v>0</v>
      </c>
      <c r="AD42">
        <v>0</v>
      </c>
      <c r="AE42">
        <v>0</v>
      </c>
      <c r="AF42">
        <v>0</v>
      </c>
      <c r="AG42">
        <v>1.87033099940389</v>
      </c>
      <c r="AH42">
        <v>1.36207924032126</v>
      </c>
      <c r="AI42">
        <v>35.93374936706751</v>
      </c>
      <c r="AJ42">
        <v>0</v>
      </c>
      <c r="AK42">
        <v>79.2073828957657</v>
      </c>
      <c r="AL42">
        <v>29.14249648034384</v>
      </c>
      <c r="AM42">
        <v>1.678937861978568</v>
      </c>
      <c r="AN42">
        <v>17.78632614932183</v>
      </c>
      <c r="AO42">
        <v>1.772341527373525</v>
      </c>
      <c r="AP42">
        <v>-0.7359017620262698</v>
      </c>
      <c r="AQ42">
        <v>24.70940951660492</v>
      </c>
      <c r="AR42">
        <v>19.93680367712398</v>
      </c>
      <c r="AS42">
        <v>118.2059322975701</v>
      </c>
      <c r="AT42">
        <v>48197.003</v>
      </c>
      <c r="AU42">
        <v>64728.58</v>
      </c>
      <c r="AV42">
        <v>-18698.249</v>
      </c>
      <c r="AW42">
        <v>-14797.975</v>
      </c>
      <c r="AX42">
        <v>31232.356</v>
      </c>
      <c r="AY42">
        <v>24861.648</v>
      </c>
      <c r="AZ42">
        <v>16522.74942920856</v>
      </c>
      <c r="BA42">
        <v>-1449.479</v>
      </c>
      <c r="BB42">
        <v>-229.417</v>
      </c>
      <c r="BC42">
        <v>424.608</v>
      </c>
      <c r="BD42">
        <v>172.422</v>
      </c>
      <c r="BE42">
        <v>-527.544</v>
      </c>
      <c r="BF42">
        <v>1197.659</v>
      </c>
      <c r="BG42">
        <v>12.47</v>
      </c>
      <c r="BH42">
        <v>22265.897</v>
      </c>
      <c r="BI42">
        <v>-9275.373</v>
      </c>
      <c r="BJ42">
        <v>5643.204</v>
      </c>
      <c r="BK42">
        <v>1195469.561</v>
      </c>
      <c r="BL42">
        <v>1328560.306</v>
      </c>
      <c r="BM42">
        <v>1299793.997</v>
      </c>
      <c r="BN42">
        <v>6488457000000</v>
      </c>
      <c r="BO42">
        <v>1570065000000</v>
      </c>
      <c r="BP42">
        <v>10.34451945235226</v>
      </c>
      <c r="BQ42">
        <v>127447.541</v>
      </c>
      <c r="BR42">
        <v>17.82079730066786</v>
      </c>
      <c r="BS42">
        <v>4.057583243720499</v>
      </c>
      <c r="BT42">
        <v>36.95636508548184</v>
      </c>
      <c r="BU42">
        <v>10.01766682317242</v>
      </c>
      <c r="BV42">
        <v>15822.16543540863</v>
      </c>
      <c r="BW42">
        <v>2606.17</v>
      </c>
      <c r="BX42">
        <v>5658.271999999999</v>
      </c>
      <c r="BY42">
        <v>24300.523</v>
      </c>
      <c r="BZ42">
        <v>25.56904437952814</v>
      </c>
      <c r="CA42">
        <v>32.68841339737912</v>
      </c>
      <c r="CB42">
        <v>2.328306436538696E-10</v>
      </c>
      <c r="CC42">
        <v>0</v>
      </c>
      <c r="CD42">
        <v>0</v>
      </c>
      <c r="CE42">
        <v>0</v>
      </c>
      <c r="CF42">
        <v>0</v>
      </c>
      <c r="CG42">
        <v>0</v>
      </c>
      <c r="CH42">
        <v>0</v>
      </c>
      <c r="CI42">
        <v>0</v>
      </c>
    </row>
    <row r="43" spans="1:87">
      <c r="A43" t="s">
        <v>440</v>
      </c>
      <c r="B43" t="s">
        <v>9</v>
      </c>
      <c r="C43" t="s">
        <v>786</v>
      </c>
      <c r="D43">
        <v>14555.292</v>
      </c>
      <c r="E43">
        <v>2101.167</v>
      </c>
      <c r="F43">
        <v>19527.946</v>
      </c>
      <c r="G43">
        <v>-6229.459</v>
      </c>
      <c r="H43">
        <v>13298.487</v>
      </c>
      <c r="I43">
        <v>-2169.365</v>
      </c>
      <c r="J43">
        <v>11129.122</v>
      </c>
      <c r="K43">
        <v>8902.951999999999</v>
      </c>
      <c r="L43">
        <v>8762.57</v>
      </c>
      <c r="M43">
        <v>0</v>
      </c>
      <c r="N43">
        <v>1084019.37</v>
      </c>
      <c r="O43">
        <v>-13150.593</v>
      </c>
      <c r="P43">
        <v>921368.132</v>
      </c>
      <c r="Q43">
        <v>187236.104</v>
      </c>
      <c r="R43">
        <v>1615763.927</v>
      </c>
      <c r="S43">
        <v>142022.525</v>
      </c>
      <c r="T43">
        <v>80549.999</v>
      </c>
      <c r="U43">
        <v>1084019370000000</v>
      </c>
      <c r="V43">
        <v>1059781834000000</v>
      </c>
      <c r="W43">
        <v>10210040000000</v>
      </c>
      <c r="X43">
        <v>3276216000000</v>
      </c>
      <c r="Y43">
        <v>4330016000000</v>
      </c>
      <c r="Z43">
        <v>6421264000000</v>
      </c>
      <c r="AA43">
        <v>921368132000000</v>
      </c>
      <c r="AB43">
        <v>339352789000000</v>
      </c>
      <c r="AC43">
        <v>0</v>
      </c>
      <c r="AD43">
        <v>0</v>
      </c>
      <c r="AE43">
        <v>0</v>
      </c>
      <c r="AF43">
        <v>0</v>
      </c>
      <c r="AG43">
        <v>1.294026323533315</v>
      </c>
      <c r="AH43">
        <v>0.9418687785994082</v>
      </c>
      <c r="AI43">
        <v>36.83140074134885</v>
      </c>
      <c r="AJ43">
        <v>0</v>
      </c>
      <c r="AK43">
        <v>93.74868472605516</v>
      </c>
      <c r="AL43">
        <v>31.90022647543167</v>
      </c>
      <c r="AM43">
        <v>0.8610650112160796</v>
      </c>
      <c r="AN43">
        <v>25.888833352168</v>
      </c>
      <c r="AO43">
        <v>2.419014020321721</v>
      </c>
      <c r="AP43">
        <v>39.50923448615413</v>
      </c>
      <c r="AQ43">
        <v>30.63237726053201</v>
      </c>
      <c r="AR43">
        <v>39.57489460551977</v>
      </c>
      <c r="AS43">
        <v>117.653230272566</v>
      </c>
      <c r="AT43">
        <v>51610.117</v>
      </c>
      <c r="AU43">
        <v>67693.015</v>
      </c>
      <c r="AV43">
        <v>-19681.153</v>
      </c>
      <c r="AW43">
        <v>-13743.504</v>
      </c>
      <c r="AX43">
        <v>34268.358</v>
      </c>
      <c r="AY43">
        <v>27382.978</v>
      </c>
      <c r="AZ43">
        <v>17631.59860498571</v>
      </c>
      <c r="BA43">
        <v>-2226.17</v>
      </c>
      <c r="BB43">
        <v>-140.382</v>
      </c>
      <c r="BC43">
        <v>260.393</v>
      </c>
      <c r="BD43">
        <v>80.262</v>
      </c>
      <c r="BE43">
        <v>822.364</v>
      </c>
      <c r="BF43">
        <v>1573.808</v>
      </c>
      <c r="BG43">
        <v>134.66</v>
      </c>
      <c r="BH43">
        <v>26132.781</v>
      </c>
      <c r="BI43">
        <v>-11577.489</v>
      </c>
      <c r="BJ43">
        <v>5886.495</v>
      </c>
      <c r="BK43">
        <v>1473741.402</v>
      </c>
      <c r="BL43">
        <v>1615763.927</v>
      </c>
      <c r="BM43">
        <v>1568412.143</v>
      </c>
      <c r="BN43">
        <v>7306526000000</v>
      </c>
      <c r="BO43">
        <v>1226310000000</v>
      </c>
      <c r="BP43">
        <v>29.01524237307205</v>
      </c>
      <c r="BQ43">
        <v>136136.03</v>
      </c>
      <c r="BR43">
        <v>26.59519321862438</v>
      </c>
      <c r="BS43">
        <v>4.059761757570186</v>
      </c>
      <c r="BT43">
        <v>37.75750570457108</v>
      </c>
      <c r="BU43">
        <v>8.789806643579064</v>
      </c>
      <c r="BV43">
        <v>16900.81088641603</v>
      </c>
      <c r="BW43">
        <v>4972.654</v>
      </c>
      <c r="BX43">
        <v>6578.681</v>
      </c>
      <c r="BY43">
        <v>26778.939</v>
      </c>
      <c r="BZ43">
        <v>29.01524237307205</v>
      </c>
      <c r="CA43">
        <v>39.57489460551977</v>
      </c>
      <c r="CB43">
        <v>0</v>
      </c>
      <c r="CC43">
        <v>0</v>
      </c>
      <c r="CD43">
        <v>0</v>
      </c>
      <c r="CE43">
        <v>0</v>
      </c>
      <c r="CF43">
        <v>-1.818989403545856E-12</v>
      </c>
      <c r="CG43">
        <v>0</v>
      </c>
      <c r="CH43">
        <v>0</v>
      </c>
      <c r="CI43">
        <v>0</v>
      </c>
    </row>
    <row r="44" spans="1:87">
      <c r="A44" t="s">
        <v>441</v>
      </c>
      <c r="B44" t="s">
        <v>9</v>
      </c>
      <c r="C44" t="s">
        <v>787</v>
      </c>
      <c r="D44">
        <v>14913.117</v>
      </c>
      <c r="E44">
        <v>1708.744</v>
      </c>
      <c r="F44">
        <v>17430.206</v>
      </c>
      <c r="G44">
        <v>-4347.002</v>
      </c>
      <c r="H44">
        <v>13083.204</v>
      </c>
      <c r="I44">
        <v>-3454.818</v>
      </c>
      <c r="J44">
        <v>9628.386</v>
      </c>
      <c r="K44">
        <v>7702.72</v>
      </c>
      <c r="L44">
        <v>7515.513</v>
      </c>
      <c r="M44">
        <v>0</v>
      </c>
      <c r="N44">
        <v>1120562.481</v>
      </c>
      <c r="O44">
        <v>-14710.33</v>
      </c>
      <c r="P44">
        <v>905918.3320000001</v>
      </c>
      <c r="Q44">
        <v>208816.453</v>
      </c>
      <c r="R44">
        <v>1611222.764</v>
      </c>
      <c r="S44">
        <v>149745.325</v>
      </c>
      <c r="T44">
        <v>80549.999</v>
      </c>
      <c r="U44">
        <v>1120562481000000</v>
      </c>
      <c r="V44">
        <v>1092777682000000</v>
      </c>
      <c r="W44">
        <v>11837274000000</v>
      </c>
      <c r="X44">
        <v>4381851000000</v>
      </c>
      <c r="Y44">
        <v>4159174000000</v>
      </c>
      <c r="Z44">
        <v>7406500000000</v>
      </c>
      <c r="AA44">
        <v>905918332000000</v>
      </c>
      <c r="AB44">
        <v>292374334000000</v>
      </c>
      <c r="AC44">
        <v>0</v>
      </c>
      <c r="AD44">
        <v>0</v>
      </c>
      <c r="AE44">
        <v>0</v>
      </c>
      <c r="AF44">
        <v>0</v>
      </c>
      <c r="AG44">
        <v>1.423171422424235</v>
      </c>
      <c r="AH44">
        <v>1.05636893976999</v>
      </c>
      <c r="AI44">
        <v>32.27380699477887</v>
      </c>
      <c r="AJ44">
        <v>0</v>
      </c>
      <c r="AK44">
        <v>92.24208772207599</v>
      </c>
      <c r="AL44">
        <v>24.93947575834732</v>
      </c>
      <c r="AM44">
        <v>1.253686452488173</v>
      </c>
      <c r="AN44">
        <v>21.12013369533347</v>
      </c>
      <c r="AO44">
        <v>1.909575895427825</v>
      </c>
      <c r="AP44">
        <v>15.39864617770599</v>
      </c>
      <c r="AQ44">
        <v>27.54774471561516</v>
      </c>
      <c r="AR44">
        <v>3.371075463347095</v>
      </c>
      <c r="AS44">
        <v>123.6935429406897</v>
      </c>
      <c r="AT44">
        <v>54831.05</v>
      </c>
      <c r="AU44">
        <v>69800.524</v>
      </c>
      <c r="AV44">
        <v>-20078.197</v>
      </c>
      <c r="AW44">
        <v>-14211.908</v>
      </c>
      <c r="AX44">
        <v>35510.419</v>
      </c>
      <c r="AY44">
        <v>28410.819</v>
      </c>
      <c r="AZ44">
        <v>18590.35715195974</v>
      </c>
      <c r="BA44">
        <v>-1925.666</v>
      </c>
      <c r="BB44">
        <v>-187.207</v>
      </c>
      <c r="BC44">
        <v>-31.706</v>
      </c>
      <c r="BD44">
        <v>80.813</v>
      </c>
      <c r="BE44">
        <v>-331.27</v>
      </c>
      <c r="BF44">
        <v>1090.478</v>
      </c>
      <c r="BG44">
        <v>0.03</v>
      </c>
      <c r="BH44">
        <v>28982.071</v>
      </c>
      <c r="BI44">
        <v>-14068.954</v>
      </c>
      <c r="BJ44">
        <v>6161.107</v>
      </c>
      <c r="BK44">
        <v>1461477.439</v>
      </c>
      <c r="BL44">
        <v>1611222.764</v>
      </c>
      <c r="BM44">
        <v>1571799.266</v>
      </c>
      <c r="BN44">
        <v>6444829000000</v>
      </c>
      <c r="BO44">
        <v>1189296000000</v>
      </c>
      <c r="BP44">
        <v>-1.676832469391287</v>
      </c>
      <c r="BQ44">
        <v>143584.218</v>
      </c>
      <c r="BR44">
        <v>21.49436961746151</v>
      </c>
      <c r="BS44">
        <v>3.799264459012734</v>
      </c>
      <c r="BT44">
        <v>33.11650160977204</v>
      </c>
      <c r="BU44">
        <v>9.293893330320399</v>
      </c>
      <c r="BV44">
        <v>17825.47731626912</v>
      </c>
      <c r="BW44">
        <v>2517.088999999998</v>
      </c>
      <c r="BX44">
        <v>7052.008999999999</v>
      </c>
      <c r="BY44">
        <v>27726.712</v>
      </c>
      <c r="BZ44">
        <v>25.36537330109245</v>
      </c>
      <c r="CA44">
        <v>40.50293358594783</v>
      </c>
      <c r="CB44">
        <v>0</v>
      </c>
      <c r="CC44">
        <v>0</v>
      </c>
      <c r="CD44">
        <v>1.818989403545856E-12</v>
      </c>
      <c r="CE44">
        <v>0</v>
      </c>
      <c r="CF44">
        <v>1.818989403545856E-12</v>
      </c>
      <c r="CG44">
        <v>0</v>
      </c>
      <c r="CH44">
        <v>0</v>
      </c>
      <c r="CI44">
        <v>0</v>
      </c>
    </row>
    <row r="45" spans="1:87">
      <c r="A45" t="s">
        <v>298</v>
      </c>
      <c r="B45" t="s">
        <v>9</v>
      </c>
      <c r="C45" t="s">
        <v>647</v>
      </c>
      <c r="D45">
        <v>16893.654</v>
      </c>
      <c r="E45">
        <v>1805.675</v>
      </c>
      <c r="F45">
        <v>20434.314</v>
      </c>
      <c r="G45">
        <v>-5627.359</v>
      </c>
      <c r="H45">
        <v>14806.955</v>
      </c>
      <c r="I45">
        <v>-4247.083</v>
      </c>
      <c r="J45">
        <v>10559.872</v>
      </c>
      <c r="K45">
        <v>8445.473</v>
      </c>
      <c r="L45">
        <v>8229.062</v>
      </c>
      <c r="M45">
        <v>0</v>
      </c>
      <c r="N45">
        <v>1227554.477</v>
      </c>
      <c r="O45">
        <v>-16662.881</v>
      </c>
      <c r="P45">
        <v>963815.357</v>
      </c>
      <c r="Q45">
        <v>233503.962</v>
      </c>
      <c r="R45">
        <v>1733012.662</v>
      </c>
      <c r="S45">
        <v>156762.644</v>
      </c>
      <c r="T45">
        <v>80549.999</v>
      </c>
      <c r="U45">
        <v>1227554477000000</v>
      </c>
      <c r="V45">
        <v>1197767532000000</v>
      </c>
      <c r="W45">
        <v>11989743000000</v>
      </c>
      <c r="X45">
        <v>4622128000000</v>
      </c>
      <c r="Y45">
        <v>4428065000000</v>
      </c>
      <c r="Z45">
        <v>8747009000000</v>
      </c>
      <c r="AA45">
        <v>963815357000000</v>
      </c>
      <c r="AB45">
        <v>324045154000000</v>
      </c>
      <c r="AC45">
        <v>0</v>
      </c>
      <c r="AD45">
        <v>0</v>
      </c>
      <c r="AE45">
        <v>0</v>
      </c>
      <c r="AF45">
        <v>0</v>
      </c>
      <c r="AG45">
        <v>1.449809546823069</v>
      </c>
      <c r="AH45">
        <v>0.9767177933562292</v>
      </c>
      <c r="AI45">
        <v>33.62108225880862</v>
      </c>
      <c r="AJ45">
        <v>0</v>
      </c>
      <c r="AK45">
        <v>93.62640824102574</v>
      </c>
      <c r="AL45">
        <v>27.53877130399387</v>
      </c>
      <c r="AM45">
        <v>1.446974942378488</v>
      </c>
      <c r="AN45">
        <v>22.0430758196698</v>
      </c>
      <c r="AO45">
        <v>2.020305851517524</v>
      </c>
      <c r="AP45">
        <v>40.647568756905</v>
      </c>
      <c r="AQ45">
        <v>36.54618688135587</v>
      </c>
      <c r="AR45">
        <v>13.24100942956397</v>
      </c>
      <c r="AS45">
        <v>127.3640711454238</v>
      </c>
      <c r="AT45">
        <v>59352.587</v>
      </c>
      <c r="AU45">
        <v>72989.16</v>
      </c>
      <c r="AV45">
        <v>-20749.086</v>
      </c>
      <c r="AW45">
        <v>-13672.774</v>
      </c>
      <c r="AX45">
        <v>38567.3</v>
      </c>
      <c r="AY45">
        <v>30851.586</v>
      </c>
      <c r="AZ45">
        <v>19461.53270591598</v>
      </c>
      <c r="BA45">
        <v>-2114.399</v>
      </c>
      <c r="BB45">
        <v>-216.411</v>
      </c>
      <c r="BC45">
        <v>137.24</v>
      </c>
      <c r="BD45">
        <v>168.711</v>
      </c>
      <c r="BE45">
        <v>334.857</v>
      </c>
      <c r="BF45">
        <v>1069.831</v>
      </c>
      <c r="BG45">
        <v>24.346</v>
      </c>
      <c r="BH45">
        <v>34006.838</v>
      </c>
      <c r="BI45">
        <v>-17113.184</v>
      </c>
      <c r="BJ45">
        <v>7425.661</v>
      </c>
      <c r="BK45">
        <v>1576250.018</v>
      </c>
      <c r="BL45">
        <v>1733012.662</v>
      </c>
      <c r="BM45">
        <v>1688183.816</v>
      </c>
      <c r="BN45">
        <v>7826933000000</v>
      </c>
      <c r="BO45">
        <v>1707241000000</v>
      </c>
      <c r="BP45">
        <v>4.606977767709464</v>
      </c>
      <c r="BQ45">
        <v>149336.983</v>
      </c>
      <c r="BR45">
        <v>22.47447292147352</v>
      </c>
      <c r="BS45">
        <v>4.145703477610869</v>
      </c>
      <c r="BT45">
        <v>34.61029392998145</v>
      </c>
      <c r="BU45">
        <v>9.045672166012135</v>
      </c>
      <c r="BV45">
        <v>18539.66292414231</v>
      </c>
      <c r="BW45">
        <v>3540.66</v>
      </c>
      <c r="BX45">
        <v>6942.141</v>
      </c>
      <c r="BY45">
        <v>30078.169</v>
      </c>
      <c r="BZ45">
        <v>23.04676547226629</v>
      </c>
      <c r="CA45">
        <v>39.51250173895608</v>
      </c>
      <c r="CB45">
        <v>0</v>
      </c>
      <c r="CC45">
        <v>0</v>
      </c>
      <c r="CD45">
        <v>0</v>
      </c>
      <c r="CE45">
        <v>0</v>
      </c>
      <c r="CF45">
        <v>1.818989403545856E-12</v>
      </c>
      <c r="CG45">
        <v>0</v>
      </c>
      <c r="CH45">
        <v>0</v>
      </c>
      <c r="CI4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Scorecard</vt:lpstr>
      <vt:lpstr>ROE_gap</vt:lpstr>
      <vt:lpstr>Market_Valuation</vt:lpstr>
      <vt:lpstr>Scenarios</vt:lpstr>
      <vt:lpstr>Catalysts</vt:lpstr>
      <vt:lpstr>Investor_QA</vt:lpstr>
      <vt:lpstr>KPI_comparison</vt:lpstr>
      <vt:lpstr>ROE_DuPont</vt:lpstr>
      <vt:lpstr>market_metrics</vt:lpstr>
      <vt:lpstr>technicals</vt:lpstr>
      <vt:lpstr>valuation</vt:lpstr>
      <vt:lpstr>scenarios_detail</vt:lpstr>
      <vt:lpstr>quarterly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2026-10-24T06:41:06Z</dcterms:created>
  <dcterms:modified xsi:type="dcterms:W3CDTF">2026-10-24T06:41:06Z</dcterms:modified>
</cp:coreProperties>
</file>